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583867C2-BD60-46F8-8921-30D55B100D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covery cohort" sheetId="1" r:id="rId1"/>
    <sheet name="validation cohort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4" l="1"/>
</calcChain>
</file>

<file path=xl/sharedStrings.xml><?xml version="1.0" encoding="utf-8"?>
<sst xmlns="http://schemas.openxmlformats.org/spreadsheetml/2006/main" count="231" uniqueCount="123">
  <si>
    <t>Age</t>
  </si>
  <si>
    <t>WBC_Count</t>
  </si>
  <si>
    <t>RBC_Count</t>
  </si>
  <si>
    <t>Hb</t>
  </si>
  <si>
    <t>RDW</t>
  </si>
  <si>
    <t>PLT_Count</t>
  </si>
  <si>
    <t>KP8</t>
  </si>
  <si>
    <t>KP3</t>
  </si>
  <si>
    <t>KP4</t>
  </si>
  <si>
    <t>KP9</t>
  </si>
  <si>
    <t>KP2</t>
  </si>
  <si>
    <t>KP7</t>
  </si>
  <si>
    <t>KP12</t>
  </si>
  <si>
    <t>KP13</t>
  </si>
  <si>
    <t>KP10</t>
  </si>
  <si>
    <t>KP11</t>
  </si>
  <si>
    <t>KP14</t>
  </si>
  <si>
    <t>KP5</t>
  </si>
  <si>
    <t>KP6</t>
  </si>
  <si>
    <t>KP15</t>
  </si>
  <si>
    <t>Con13</t>
  </si>
  <si>
    <t>Con11</t>
  </si>
  <si>
    <t>Con10</t>
  </si>
  <si>
    <t>Con9</t>
  </si>
  <si>
    <t>Con12</t>
  </si>
  <si>
    <t>Con7</t>
  </si>
  <si>
    <t>Con6</t>
  </si>
  <si>
    <t>Con5</t>
  </si>
  <si>
    <t>Con4</t>
  </si>
  <si>
    <t>Con3</t>
  </si>
  <si>
    <t>Con2</t>
  </si>
  <si>
    <t>Con8</t>
  </si>
  <si>
    <t>Con14</t>
  </si>
  <si>
    <t>Con15</t>
  </si>
  <si>
    <t>CRKP13</t>
  </si>
  <si>
    <t>CRKP10</t>
  </si>
  <si>
    <t>CRKP9</t>
  </si>
  <si>
    <t>CRKP12</t>
  </si>
  <si>
    <t>CRKP11</t>
  </si>
  <si>
    <t>CRKP7</t>
  </si>
  <si>
    <t>CRKP8</t>
  </si>
  <si>
    <t>CRKP6</t>
  </si>
  <si>
    <t>CRKP5</t>
  </si>
  <si>
    <t>CRKP3</t>
  </si>
  <si>
    <t>CRKP4</t>
  </si>
  <si>
    <t>CRKP2</t>
  </si>
  <si>
    <t>CRKP15</t>
  </si>
  <si>
    <t>CRKP14</t>
  </si>
  <si>
    <t>KP</t>
    <phoneticPr fontId="3" type="noConversion"/>
  </si>
  <si>
    <t>CRKP</t>
    <phoneticPr fontId="3" type="noConversion"/>
  </si>
  <si>
    <t>Con</t>
    <phoneticPr fontId="3" type="noConversion"/>
  </si>
  <si>
    <t>编号</t>
    <phoneticPr fontId="3" type="noConversion"/>
  </si>
  <si>
    <t>分组</t>
    <phoneticPr fontId="3" type="noConversion"/>
  </si>
  <si>
    <t>样本名</t>
    <phoneticPr fontId="3" type="noConversion"/>
  </si>
  <si>
    <t>Group</t>
    <phoneticPr fontId="3" type="noConversion"/>
  </si>
  <si>
    <t>BMI</t>
    <phoneticPr fontId="3" type="noConversion"/>
  </si>
  <si>
    <t>TBIL</t>
    <phoneticPr fontId="3" type="noConversion"/>
  </si>
  <si>
    <t>ALT</t>
    <phoneticPr fontId="3" type="noConversion"/>
  </si>
  <si>
    <t>AST</t>
    <phoneticPr fontId="3" type="noConversion"/>
  </si>
  <si>
    <t>Creatinine</t>
    <phoneticPr fontId="3" type="noConversion"/>
  </si>
  <si>
    <t>BUN</t>
    <phoneticPr fontId="3" type="noConversion"/>
  </si>
  <si>
    <t>NLR</t>
    <phoneticPr fontId="3" type="noConversion"/>
  </si>
  <si>
    <t>PCT</t>
    <phoneticPr fontId="3" type="noConversion"/>
  </si>
  <si>
    <t>CRP</t>
    <phoneticPr fontId="3" type="noConversion"/>
  </si>
  <si>
    <t>INR</t>
    <phoneticPr fontId="3" type="noConversion"/>
  </si>
  <si>
    <t>Diabetes</t>
    <phoneticPr fontId="3" type="noConversion"/>
  </si>
  <si>
    <t>Heart disease</t>
    <phoneticPr fontId="3" type="noConversion"/>
  </si>
  <si>
    <t>COPD</t>
    <phoneticPr fontId="3" type="noConversion"/>
  </si>
  <si>
    <t>Liver disease</t>
    <phoneticPr fontId="3" type="noConversion"/>
  </si>
  <si>
    <t>Cerebrovascular disease</t>
    <phoneticPr fontId="3" type="noConversion"/>
  </si>
  <si>
    <t>Kidney disease</t>
    <phoneticPr fontId="3" type="noConversion"/>
  </si>
  <si>
    <t>CRKP1</t>
    <phoneticPr fontId="3" type="noConversion"/>
  </si>
  <si>
    <t>KP1</t>
    <phoneticPr fontId="3" type="noConversion"/>
  </si>
  <si>
    <t>Con1</t>
    <phoneticPr fontId="3" type="noConversion"/>
  </si>
  <si>
    <t>Weight (kg)</t>
    <phoneticPr fontId="3" type="noConversion"/>
  </si>
  <si>
    <t>1-1</t>
    <phoneticPr fontId="3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</si>
  <si>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</si>
  <si>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</si>
  <si>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</si>
  <si>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</si>
  <si>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</si>
  <si>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</si>
  <si>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</si>
  <si>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</si>
  <si>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</si>
  <si>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</si>
  <si>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</si>
  <si>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</si>
  <si>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</si>
  <si>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</si>
  <si>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2-3</t>
  </si>
  <si>
    <t>CSKP</t>
    <phoneticPr fontId="3" type="noConversion"/>
  </si>
  <si>
    <t>2-4</t>
  </si>
  <si>
    <t>2-5</t>
  </si>
  <si>
    <t>2-6</t>
  </si>
  <si>
    <t>2-7</t>
  </si>
  <si>
    <t>2-8</t>
  </si>
  <si>
    <t>2-11</t>
  </si>
  <si>
    <t>2-12</t>
  </si>
  <si>
    <t>2-13</t>
  </si>
  <si>
    <t>2-14</t>
  </si>
  <si>
    <t>2-15</t>
  </si>
  <si>
    <t>2-17</t>
  </si>
  <si>
    <t>2-18</t>
  </si>
  <si>
    <t>2-19</t>
  </si>
  <si>
    <t>2-20</t>
  </si>
  <si>
    <t>3-1</t>
    <phoneticPr fontId="3" type="noConversion"/>
  </si>
  <si>
    <t>3-2</t>
  </si>
  <si>
    <t>3-3</t>
  </si>
  <si>
    <t>3-4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</si>
  <si>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</si>
  <si>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</si>
  <si>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</si>
  <si>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</si>
  <si>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</si>
  <si>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</si>
  <si>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</si>
  <si>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</si>
  <si>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</si>
  <si>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</si>
  <si>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</si>
  <si>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Sex</t>
    <phoneticPr fontId="3" type="noConversion"/>
  </si>
  <si>
    <t>Sex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</si>
</sst>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zoomScale="80" zoomScaleNormal="80" workbookViewId="0">
      <selection activeCell="D2" sqref="D2"/>
    </sheetView>
  </sheetViews>
  <sheetFormatPr defaultColWidth="9" defaultRowHeight="13.5" x14ac:dyDescent="0.15"/>
  <cols>
    <col min="1" max="1" width="9" style="9"/>
    <col min="2" max="5" width="9" style="6"/>
    <col min="6" max="6" width="9" style="10"/>
    <col min="7" max="19" width="9" style="6"/>
    <col min="20" max="20" width="9" style="7"/>
    <col min="21" max="26" width="9" style="11"/>
    <col min="27" max="16384" width="9" style="6"/>
  </cols>
  <sheetData>
    <row r="1" spans="1:26" x14ac:dyDescent="0.15">
      <c r="A1" s="1" t="s">
        <v>51</v>
      </c>
      <c r="B1" s="1" t="s">
        <v>53</v>
      </c>
      <c r="C1" s="1" t="s">
        <v>52</v>
      </c>
      <c r="D1" s="1" t="s">
        <v>121</v>
      </c>
      <c r="E1" s="1" t="s">
        <v>0</v>
      </c>
      <c r="F1" s="5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 x14ac:dyDescent="0.15">
      <c r="A2" s="4">
        <v>1</v>
      </c>
      <c r="B2" s="7" t="s">
        <v>71</v>
      </c>
      <c r="C2" s="7" t="s">
        <v>49</v>
      </c>
      <c r="D2" s="2">
        <v>0</v>
      </c>
      <c r="E2" s="2">
        <v>53</v>
      </c>
      <c r="F2" s="8">
        <v>27.681660899653981</v>
      </c>
      <c r="G2" s="2">
        <v>19.600000000000001</v>
      </c>
      <c r="H2" s="2">
        <v>46</v>
      </c>
      <c r="I2" s="2">
        <v>38</v>
      </c>
      <c r="J2" s="2">
        <v>254</v>
      </c>
      <c r="K2" s="2">
        <v>25.1</v>
      </c>
      <c r="L2" s="8">
        <v>53.666666666666671</v>
      </c>
      <c r="M2" s="8">
        <v>4.3499999999999996</v>
      </c>
      <c r="N2" s="8">
        <v>217</v>
      </c>
      <c r="O2" s="2">
        <v>17</v>
      </c>
      <c r="P2" s="2">
        <v>3.3</v>
      </c>
      <c r="Q2" s="2">
        <v>97</v>
      </c>
      <c r="R2" s="2">
        <v>15.7</v>
      </c>
      <c r="S2" s="2">
        <v>193</v>
      </c>
      <c r="T2" s="7">
        <v>1.21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</row>
    <row r="3" spans="1:26" x14ac:dyDescent="0.15">
      <c r="A3" s="4">
        <v>2</v>
      </c>
      <c r="B3" s="7" t="s">
        <v>45</v>
      </c>
      <c r="C3" s="7" t="s">
        <v>49</v>
      </c>
      <c r="D3" s="2">
        <v>1</v>
      </c>
      <c r="E3" s="2">
        <v>33</v>
      </c>
      <c r="F3" s="8">
        <v>18.827111039897449</v>
      </c>
      <c r="G3" s="2">
        <v>14.9</v>
      </c>
      <c r="H3" s="2">
        <v>19</v>
      </c>
      <c r="I3" s="2">
        <v>9</v>
      </c>
      <c r="J3" s="2">
        <v>42</v>
      </c>
      <c r="K3" s="2">
        <v>4.8</v>
      </c>
      <c r="L3" s="8">
        <v>299</v>
      </c>
      <c r="M3" s="8">
        <v>1.25</v>
      </c>
      <c r="N3" s="8">
        <v>174.1</v>
      </c>
      <c r="O3" s="2">
        <v>0.01</v>
      </c>
      <c r="P3" s="2">
        <v>1.64</v>
      </c>
      <c r="Q3" s="2">
        <v>47</v>
      </c>
      <c r="R3" s="2">
        <v>14.5</v>
      </c>
      <c r="S3" s="2">
        <v>15</v>
      </c>
      <c r="T3" s="7">
        <v>1.35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</row>
    <row r="4" spans="1:26" x14ac:dyDescent="0.15">
      <c r="A4" s="4">
        <v>3</v>
      </c>
      <c r="B4" s="7" t="s">
        <v>43</v>
      </c>
      <c r="C4" s="7" t="s">
        <v>49</v>
      </c>
      <c r="D4" s="2">
        <v>1</v>
      </c>
      <c r="E4" s="2">
        <v>64</v>
      </c>
      <c r="F4" s="8">
        <v>24.167162403331353</v>
      </c>
      <c r="G4" s="2">
        <v>18.8</v>
      </c>
      <c r="H4" s="2">
        <v>25</v>
      </c>
      <c r="I4" s="2">
        <v>23</v>
      </c>
      <c r="J4" s="2">
        <v>58</v>
      </c>
      <c r="K4" s="2">
        <v>7.9</v>
      </c>
      <c r="L4" s="8">
        <v>11.727272727272727</v>
      </c>
      <c r="M4" s="8">
        <v>0.39</v>
      </c>
      <c r="N4" s="8">
        <v>36</v>
      </c>
      <c r="O4" s="2">
        <v>7.24</v>
      </c>
      <c r="P4" s="2">
        <v>2.1800000000000002</v>
      </c>
      <c r="Q4" s="2">
        <v>63</v>
      </c>
      <c r="R4" s="2">
        <v>12.9</v>
      </c>
      <c r="S4" s="2">
        <v>150</v>
      </c>
      <c r="T4" s="7">
        <v>1.1299999999999999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</row>
    <row r="5" spans="1:26" x14ac:dyDescent="0.15">
      <c r="A5" s="4">
        <v>4</v>
      </c>
      <c r="B5" s="7" t="s">
        <v>44</v>
      </c>
      <c r="C5" s="7" t="s">
        <v>49</v>
      </c>
      <c r="D5" s="2">
        <v>0</v>
      </c>
      <c r="E5" s="2">
        <v>67</v>
      </c>
      <c r="F5" s="8">
        <v>24.801587301587304</v>
      </c>
      <c r="G5" s="2">
        <v>27</v>
      </c>
      <c r="H5" s="2">
        <v>44</v>
      </c>
      <c r="I5" s="2">
        <v>41</v>
      </c>
      <c r="J5" s="2">
        <v>117</v>
      </c>
      <c r="K5" s="2">
        <v>13.1</v>
      </c>
      <c r="L5" s="8">
        <v>38.56</v>
      </c>
      <c r="M5" s="8">
        <v>11.92</v>
      </c>
      <c r="N5" s="8">
        <v>105</v>
      </c>
      <c r="O5" s="2">
        <v>16.79</v>
      </c>
      <c r="P5" s="2">
        <v>2.0099999999999998</v>
      </c>
      <c r="Q5" s="2">
        <v>58</v>
      </c>
      <c r="R5" s="2">
        <v>17.399999999999999</v>
      </c>
      <c r="S5" s="2">
        <v>113</v>
      </c>
      <c r="T5" s="7">
        <v>1.21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</row>
    <row r="6" spans="1:26" x14ac:dyDescent="0.15">
      <c r="A6" s="4">
        <v>5</v>
      </c>
      <c r="B6" s="7" t="s">
        <v>42</v>
      </c>
      <c r="C6" s="7" t="s">
        <v>49</v>
      </c>
      <c r="D6" s="2">
        <v>1</v>
      </c>
      <c r="E6" s="2">
        <v>30</v>
      </c>
      <c r="F6" s="8">
        <v>29.387755102040817</v>
      </c>
      <c r="G6" s="2">
        <v>10</v>
      </c>
      <c r="H6" s="2">
        <v>17</v>
      </c>
      <c r="I6" s="2">
        <v>34</v>
      </c>
      <c r="J6" s="2">
        <v>40</v>
      </c>
      <c r="K6" s="2">
        <v>4.4000000000000004</v>
      </c>
      <c r="L6" s="8">
        <v>17.578947368421051</v>
      </c>
      <c r="M6" s="8">
        <v>0.5</v>
      </c>
      <c r="N6" s="8">
        <v>123</v>
      </c>
      <c r="O6" s="2">
        <v>12.72</v>
      </c>
      <c r="P6" s="2">
        <v>3.04</v>
      </c>
      <c r="Q6" s="2">
        <v>91</v>
      </c>
      <c r="R6" s="2">
        <v>12.3</v>
      </c>
      <c r="S6" s="2">
        <v>425</v>
      </c>
      <c r="T6" s="7">
        <v>1.1100000000000001</v>
      </c>
      <c r="U6" s="2">
        <v>0</v>
      </c>
      <c r="V6" s="2">
        <v>0</v>
      </c>
      <c r="W6" s="2">
        <v>1</v>
      </c>
      <c r="X6" s="2">
        <v>0</v>
      </c>
      <c r="Y6" s="2">
        <v>1</v>
      </c>
      <c r="Z6" s="2">
        <v>0</v>
      </c>
    </row>
    <row r="7" spans="1:26" x14ac:dyDescent="0.15">
      <c r="A7" s="4">
        <v>6</v>
      </c>
      <c r="B7" s="7" t="s">
        <v>41</v>
      </c>
      <c r="C7" s="7" t="s">
        <v>49</v>
      </c>
      <c r="D7" s="2">
        <v>0</v>
      </c>
      <c r="E7" s="2">
        <v>33</v>
      </c>
      <c r="F7" s="8">
        <v>20.202020202020204</v>
      </c>
      <c r="G7" s="2">
        <v>15.5</v>
      </c>
      <c r="H7" s="2">
        <v>137</v>
      </c>
      <c r="I7" s="2">
        <v>52</v>
      </c>
      <c r="J7" s="2">
        <v>47</v>
      </c>
      <c r="K7" s="2">
        <v>8.3000000000000007</v>
      </c>
      <c r="L7" s="8">
        <v>22.12280701754386</v>
      </c>
      <c r="M7" s="8">
        <v>83.09</v>
      </c>
      <c r="N7" s="8">
        <v>158</v>
      </c>
      <c r="O7" s="2">
        <v>14.2</v>
      </c>
      <c r="P7" s="2">
        <v>2.29</v>
      </c>
      <c r="Q7" s="2">
        <v>68</v>
      </c>
      <c r="R7" s="2">
        <v>13.5</v>
      </c>
      <c r="S7" s="2">
        <v>254</v>
      </c>
      <c r="T7" s="7">
        <v>1.07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 x14ac:dyDescent="0.15">
      <c r="A8" s="4">
        <v>7</v>
      </c>
      <c r="B8" s="7" t="s">
        <v>39</v>
      </c>
      <c r="C8" s="7" t="s">
        <v>49</v>
      </c>
      <c r="D8" s="2">
        <v>0</v>
      </c>
      <c r="E8" s="2">
        <v>36</v>
      </c>
      <c r="F8" s="8">
        <v>14.532871972318341</v>
      </c>
      <c r="G8" s="2">
        <v>10.5</v>
      </c>
      <c r="H8" s="2">
        <v>2</v>
      </c>
      <c r="I8" s="2">
        <v>5</v>
      </c>
      <c r="J8" s="2">
        <v>321</v>
      </c>
      <c r="K8" s="2">
        <v>29.9</v>
      </c>
      <c r="L8" s="8">
        <v>4.3611111111111116</v>
      </c>
      <c r="M8" s="8">
        <v>38.090000000000003</v>
      </c>
      <c r="N8" s="8">
        <v>88</v>
      </c>
      <c r="O8" s="2">
        <v>4.51</v>
      </c>
      <c r="P8" s="2">
        <v>2.6</v>
      </c>
      <c r="Q8" s="2">
        <v>78</v>
      </c>
      <c r="R8" s="2">
        <v>13.9</v>
      </c>
      <c r="S8" s="2">
        <v>62</v>
      </c>
      <c r="T8" s="7">
        <v>1.19</v>
      </c>
      <c r="U8" s="2">
        <v>1</v>
      </c>
      <c r="V8" s="2">
        <v>0</v>
      </c>
      <c r="W8" s="2">
        <v>0</v>
      </c>
      <c r="X8" s="2">
        <v>1</v>
      </c>
      <c r="Y8" s="2">
        <v>0</v>
      </c>
      <c r="Z8" s="2">
        <v>1</v>
      </c>
    </row>
    <row r="9" spans="1:26" x14ac:dyDescent="0.15">
      <c r="A9" s="4">
        <v>8</v>
      </c>
      <c r="B9" s="7" t="s">
        <v>40</v>
      </c>
      <c r="C9" s="7" t="s">
        <v>49</v>
      </c>
      <c r="D9" s="2">
        <v>0</v>
      </c>
      <c r="E9" s="2">
        <v>40</v>
      </c>
      <c r="F9" s="8">
        <v>18.937002903673779</v>
      </c>
      <c r="G9" s="2">
        <v>32.1</v>
      </c>
      <c r="H9" s="2">
        <v>4</v>
      </c>
      <c r="I9" s="2">
        <v>7</v>
      </c>
      <c r="J9" s="2">
        <v>134</v>
      </c>
      <c r="K9" s="2">
        <v>37.9</v>
      </c>
      <c r="L9" s="8">
        <v>9.3333333333333339</v>
      </c>
      <c r="M9" s="8">
        <v>2.33</v>
      </c>
      <c r="N9" s="8">
        <v>90.2</v>
      </c>
      <c r="O9" s="2">
        <v>6.7</v>
      </c>
      <c r="P9" s="2">
        <v>2.99</v>
      </c>
      <c r="Q9" s="2">
        <v>72</v>
      </c>
      <c r="R9" s="2">
        <v>20.9</v>
      </c>
      <c r="S9" s="2">
        <v>154</v>
      </c>
      <c r="T9" s="7">
        <v>1.36</v>
      </c>
      <c r="U9" s="2">
        <v>0</v>
      </c>
      <c r="V9" s="2">
        <v>1</v>
      </c>
      <c r="W9" s="2">
        <v>0</v>
      </c>
      <c r="X9" s="2">
        <v>0</v>
      </c>
      <c r="Y9" s="2">
        <v>1</v>
      </c>
      <c r="Z9" s="2">
        <v>0</v>
      </c>
    </row>
    <row r="10" spans="1:26" x14ac:dyDescent="0.15">
      <c r="A10" s="4">
        <v>9</v>
      </c>
      <c r="B10" s="7" t="s">
        <v>36</v>
      </c>
      <c r="C10" s="7" t="s">
        <v>49</v>
      </c>
      <c r="D10" s="2">
        <v>0</v>
      </c>
      <c r="E10" s="2">
        <v>55</v>
      </c>
      <c r="F10" s="8">
        <v>19.267171444023798</v>
      </c>
      <c r="G10" s="2">
        <v>31.1</v>
      </c>
      <c r="H10" s="2">
        <v>14</v>
      </c>
      <c r="I10" s="2">
        <v>26</v>
      </c>
      <c r="J10" s="2">
        <v>65</v>
      </c>
      <c r="K10" s="2">
        <v>4.0999999999999996</v>
      </c>
      <c r="L10" s="8">
        <v>12.882812499999998</v>
      </c>
      <c r="M10" s="8">
        <v>11.92</v>
      </c>
      <c r="N10" s="8">
        <v>78</v>
      </c>
      <c r="O10" s="2">
        <v>18.89</v>
      </c>
      <c r="P10" s="2">
        <v>2.35</v>
      </c>
      <c r="Q10" s="2">
        <v>71</v>
      </c>
      <c r="R10" s="2">
        <v>15.1</v>
      </c>
      <c r="S10" s="2">
        <v>478</v>
      </c>
      <c r="T10" s="7">
        <v>1.21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</row>
    <row r="11" spans="1:26" x14ac:dyDescent="0.15">
      <c r="A11" s="4">
        <v>10</v>
      </c>
      <c r="B11" s="7" t="s">
        <v>35</v>
      </c>
      <c r="C11" s="7" t="s">
        <v>49</v>
      </c>
      <c r="D11" s="2">
        <v>0</v>
      </c>
      <c r="E11" s="2">
        <v>50</v>
      </c>
      <c r="F11" s="8">
        <v>22.093170054286073</v>
      </c>
      <c r="G11" s="2">
        <v>16.7</v>
      </c>
      <c r="H11" s="2">
        <v>45</v>
      </c>
      <c r="I11" s="2">
        <v>51</v>
      </c>
      <c r="J11" s="2">
        <v>316</v>
      </c>
      <c r="K11" s="2">
        <v>21.5</v>
      </c>
      <c r="L11" s="8">
        <v>18.5</v>
      </c>
      <c r="M11" s="8">
        <v>0.66</v>
      </c>
      <c r="N11" s="8">
        <v>122.2</v>
      </c>
      <c r="O11" s="2">
        <v>8.6</v>
      </c>
      <c r="P11" s="2">
        <v>2.5</v>
      </c>
      <c r="Q11" s="2">
        <v>77</v>
      </c>
      <c r="R11" s="2">
        <v>13</v>
      </c>
      <c r="S11" s="2">
        <v>202</v>
      </c>
      <c r="T11" s="7">
        <v>1.35</v>
      </c>
      <c r="U11" s="2">
        <v>0</v>
      </c>
      <c r="V11" s="2">
        <v>1</v>
      </c>
      <c r="W11" s="2">
        <v>0</v>
      </c>
      <c r="X11" s="2">
        <v>0</v>
      </c>
      <c r="Y11" s="2">
        <v>1</v>
      </c>
      <c r="Z11" s="2">
        <v>0</v>
      </c>
    </row>
    <row r="12" spans="1:26" x14ac:dyDescent="0.15">
      <c r="A12" s="4">
        <v>11</v>
      </c>
      <c r="B12" s="7" t="s">
        <v>38</v>
      </c>
      <c r="C12" s="7" t="s">
        <v>49</v>
      </c>
      <c r="D12" s="2">
        <v>0</v>
      </c>
      <c r="E12" s="2">
        <v>41</v>
      </c>
      <c r="F12" s="8">
        <v>24.801587301587304</v>
      </c>
      <c r="G12" s="2">
        <v>8.3000000000000007</v>
      </c>
      <c r="H12" s="2">
        <v>124</v>
      </c>
      <c r="I12" s="2">
        <v>121</v>
      </c>
      <c r="J12" s="2">
        <v>32</v>
      </c>
      <c r="K12" s="2">
        <v>4.5999999999999996</v>
      </c>
      <c r="L12" s="8">
        <v>7.9560439560439562</v>
      </c>
      <c r="M12" s="8">
        <v>0.13</v>
      </c>
      <c r="N12" s="8">
        <v>105</v>
      </c>
      <c r="O12" s="2">
        <v>8.4700000000000006</v>
      </c>
      <c r="P12" s="2">
        <v>3.15</v>
      </c>
      <c r="Q12" s="2">
        <v>92</v>
      </c>
      <c r="R12" s="2">
        <v>12.6</v>
      </c>
      <c r="S12" s="2">
        <v>281</v>
      </c>
      <c r="T12" s="7">
        <v>1.31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</row>
    <row r="13" spans="1:26" x14ac:dyDescent="0.15">
      <c r="A13" s="4">
        <v>12</v>
      </c>
      <c r="B13" s="7" t="s">
        <v>37</v>
      </c>
      <c r="C13" s="7" t="s">
        <v>49</v>
      </c>
      <c r="D13" s="2">
        <v>1</v>
      </c>
      <c r="E13" s="2">
        <v>69</v>
      </c>
      <c r="F13" s="8">
        <v>20.569329660238754</v>
      </c>
      <c r="G13" s="2">
        <v>134.69999999999999</v>
      </c>
      <c r="H13" s="2">
        <v>93</v>
      </c>
      <c r="I13" s="2">
        <v>118</v>
      </c>
      <c r="J13" s="2">
        <v>66</v>
      </c>
      <c r="K13" s="2">
        <v>3.9</v>
      </c>
      <c r="L13" s="8">
        <v>3.2260869565217392</v>
      </c>
      <c r="M13" s="8">
        <v>0.21</v>
      </c>
      <c r="N13" s="8">
        <v>11.2</v>
      </c>
      <c r="O13" s="2">
        <v>5.47</v>
      </c>
      <c r="P13" s="2">
        <v>3.5</v>
      </c>
      <c r="Q13" s="2">
        <v>116</v>
      </c>
      <c r="R13" s="2">
        <v>13.3</v>
      </c>
      <c r="S13" s="2">
        <v>136</v>
      </c>
      <c r="T13" s="7">
        <v>1.28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</row>
    <row r="14" spans="1:26" x14ac:dyDescent="0.15">
      <c r="A14" s="4">
        <v>13</v>
      </c>
      <c r="B14" s="7" t="s">
        <v>34</v>
      </c>
      <c r="C14" s="7" t="s">
        <v>49</v>
      </c>
      <c r="D14" s="2">
        <v>1</v>
      </c>
      <c r="E14" s="2">
        <v>69</v>
      </c>
      <c r="F14" s="8">
        <v>24.238227146814403</v>
      </c>
      <c r="G14" s="2">
        <v>15.2</v>
      </c>
      <c r="H14" s="2">
        <v>9</v>
      </c>
      <c r="I14" s="2">
        <v>17</v>
      </c>
      <c r="J14" s="2">
        <v>38</v>
      </c>
      <c r="K14" s="2">
        <v>5.4</v>
      </c>
      <c r="L14" s="8">
        <v>2.3470588235294119</v>
      </c>
      <c r="M14" s="8">
        <v>7.0000000000000007E-2</v>
      </c>
      <c r="N14" s="8">
        <v>57</v>
      </c>
      <c r="O14" s="2">
        <v>6</v>
      </c>
      <c r="P14" s="2">
        <v>2.2000000000000002</v>
      </c>
      <c r="Q14" s="2">
        <v>67</v>
      </c>
      <c r="R14" s="2">
        <v>16.600000000000001</v>
      </c>
      <c r="S14" s="2">
        <v>203</v>
      </c>
      <c r="T14" s="7">
        <v>0.92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</row>
    <row r="15" spans="1:26" x14ac:dyDescent="0.15">
      <c r="A15" s="4">
        <v>14</v>
      </c>
      <c r="B15" s="7" t="s">
        <v>47</v>
      </c>
      <c r="C15" s="7" t="s">
        <v>49</v>
      </c>
      <c r="D15" s="2">
        <v>0</v>
      </c>
      <c r="E15" s="2">
        <v>67</v>
      </c>
      <c r="F15" s="8">
        <v>28.344671201814062</v>
      </c>
      <c r="G15" s="2">
        <v>27</v>
      </c>
      <c r="H15" s="2">
        <v>44</v>
      </c>
      <c r="I15" s="2">
        <v>41</v>
      </c>
      <c r="J15" s="2">
        <v>117</v>
      </c>
      <c r="K15" s="2">
        <v>13.1</v>
      </c>
      <c r="L15" s="8">
        <v>38.56</v>
      </c>
      <c r="M15" s="8">
        <v>11.92</v>
      </c>
      <c r="N15" s="8">
        <v>105</v>
      </c>
      <c r="O15" s="2">
        <v>10.81</v>
      </c>
      <c r="P15" s="2">
        <v>3.37</v>
      </c>
      <c r="Q15" s="2">
        <v>105</v>
      </c>
      <c r="R15" s="2">
        <v>14.6</v>
      </c>
      <c r="S15" s="2">
        <v>92</v>
      </c>
      <c r="T15" s="7">
        <v>1.21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15">
      <c r="A16" s="4">
        <v>15</v>
      </c>
      <c r="B16" s="7" t="s">
        <v>46</v>
      </c>
      <c r="C16" s="7" t="s">
        <v>49</v>
      </c>
      <c r="D16" s="2">
        <v>0</v>
      </c>
      <c r="E16" s="2">
        <v>68</v>
      </c>
      <c r="F16" s="8">
        <v>23.030045351473927</v>
      </c>
      <c r="G16" s="2">
        <v>27</v>
      </c>
      <c r="H16" s="2">
        <v>44</v>
      </c>
      <c r="I16" s="2">
        <v>41</v>
      </c>
      <c r="J16" s="2">
        <v>117</v>
      </c>
      <c r="K16" s="2">
        <v>13.1</v>
      </c>
      <c r="L16" s="8">
        <v>38.56</v>
      </c>
      <c r="M16" s="8">
        <v>11.92</v>
      </c>
      <c r="N16" s="8">
        <v>105</v>
      </c>
      <c r="O16" s="2">
        <v>3.41</v>
      </c>
      <c r="P16" s="2">
        <v>3.09</v>
      </c>
      <c r="Q16" s="2">
        <v>80</v>
      </c>
      <c r="R16" s="2">
        <v>15.4</v>
      </c>
      <c r="S16" s="2">
        <v>60</v>
      </c>
      <c r="T16" s="7">
        <v>1.21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 x14ac:dyDescent="0.15">
      <c r="A17" s="4">
        <v>16</v>
      </c>
      <c r="B17" s="7" t="s">
        <v>72</v>
      </c>
      <c r="C17" s="7" t="s">
        <v>48</v>
      </c>
      <c r="D17" s="2">
        <v>0</v>
      </c>
      <c r="E17" s="2">
        <v>51</v>
      </c>
      <c r="F17" s="8">
        <v>24.212293388429753</v>
      </c>
      <c r="G17" s="2">
        <v>11.7</v>
      </c>
      <c r="H17" s="2">
        <v>22</v>
      </c>
      <c r="I17" s="2">
        <v>18</v>
      </c>
      <c r="J17" s="2">
        <v>94</v>
      </c>
      <c r="K17" s="2">
        <v>4.4000000000000004</v>
      </c>
      <c r="L17" s="8">
        <v>1.7426470588235294</v>
      </c>
      <c r="M17" s="8">
        <v>0.08</v>
      </c>
      <c r="N17" s="8">
        <v>1.9</v>
      </c>
      <c r="O17" s="2">
        <v>4.3</v>
      </c>
      <c r="P17" s="2">
        <v>4.21</v>
      </c>
      <c r="Q17" s="2">
        <v>125</v>
      </c>
      <c r="R17" s="2">
        <v>13.2</v>
      </c>
      <c r="S17" s="2">
        <v>346</v>
      </c>
      <c r="T17" s="7">
        <v>1.04</v>
      </c>
      <c r="U17" s="2">
        <v>0</v>
      </c>
      <c r="V17" s="2">
        <v>0</v>
      </c>
      <c r="W17" s="2">
        <v>0</v>
      </c>
      <c r="X17" s="2">
        <v>1</v>
      </c>
      <c r="Y17" s="2">
        <v>0</v>
      </c>
      <c r="Z17" s="2">
        <v>0</v>
      </c>
    </row>
    <row r="18" spans="1:26" x14ac:dyDescent="0.15">
      <c r="A18" s="4">
        <v>17</v>
      </c>
      <c r="B18" s="7" t="s">
        <v>10</v>
      </c>
      <c r="C18" s="7" t="s">
        <v>48</v>
      </c>
      <c r="D18" s="2">
        <v>1</v>
      </c>
      <c r="E18" s="2">
        <v>35</v>
      </c>
      <c r="F18" s="8">
        <v>22.77318640955005</v>
      </c>
      <c r="G18" s="2">
        <v>13.8</v>
      </c>
      <c r="H18" s="2">
        <v>16</v>
      </c>
      <c r="I18" s="2">
        <v>23</v>
      </c>
      <c r="J18" s="2">
        <v>68</v>
      </c>
      <c r="K18" s="2">
        <v>4.4000000000000004</v>
      </c>
      <c r="L18" s="8">
        <v>4.9916666666666671</v>
      </c>
      <c r="M18" s="8">
        <v>0.02</v>
      </c>
      <c r="N18" s="8">
        <v>1.2</v>
      </c>
      <c r="O18" s="2">
        <v>7.75</v>
      </c>
      <c r="P18" s="2">
        <v>4.01</v>
      </c>
      <c r="Q18" s="2">
        <v>126</v>
      </c>
      <c r="R18" s="2">
        <v>13</v>
      </c>
      <c r="S18" s="2">
        <v>182</v>
      </c>
      <c r="T18" s="7">
        <v>0.92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26" x14ac:dyDescent="0.15">
      <c r="A19" s="4">
        <v>18</v>
      </c>
      <c r="B19" s="7" t="s">
        <v>7</v>
      </c>
      <c r="C19" s="7" t="s">
        <v>48</v>
      </c>
      <c r="D19" s="2">
        <v>1</v>
      </c>
      <c r="E19" s="2">
        <v>58</v>
      </c>
      <c r="F19" s="8">
        <v>17.647058823529413</v>
      </c>
      <c r="G19" s="2">
        <v>15.2</v>
      </c>
      <c r="H19" s="2">
        <v>13</v>
      </c>
      <c r="I19" s="2">
        <v>16</v>
      </c>
      <c r="J19" s="2">
        <v>38</v>
      </c>
      <c r="K19" s="2">
        <v>4.3</v>
      </c>
      <c r="L19" s="8">
        <v>18</v>
      </c>
      <c r="M19" s="8">
        <v>0.18</v>
      </c>
      <c r="N19" s="8">
        <v>72.3</v>
      </c>
      <c r="O19" s="2">
        <v>0.01</v>
      </c>
      <c r="P19" s="2">
        <v>1.53</v>
      </c>
      <c r="Q19" s="2">
        <v>49</v>
      </c>
      <c r="R19" s="2">
        <v>13.1</v>
      </c>
      <c r="S19" s="2">
        <v>7</v>
      </c>
      <c r="T19" s="7">
        <v>1</v>
      </c>
      <c r="U19" s="2">
        <v>0</v>
      </c>
      <c r="V19" s="2">
        <v>1</v>
      </c>
      <c r="W19" s="2">
        <v>0</v>
      </c>
      <c r="X19" s="2">
        <v>0</v>
      </c>
      <c r="Y19" s="2">
        <v>1</v>
      </c>
      <c r="Z19" s="2">
        <v>0</v>
      </c>
    </row>
    <row r="20" spans="1:26" x14ac:dyDescent="0.15">
      <c r="A20" s="4">
        <v>19</v>
      </c>
      <c r="B20" s="7" t="s">
        <v>8</v>
      </c>
      <c r="C20" s="7" t="s">
        <v>48</v>
      </c>
      <c r="D20" s="2">
        <v>0</v>
      </c>
      <c r="E20" s="2">
        <v>70</v>
      </c>
      <c r="F20" s="8">
        <v>25.864512471655331</v>
      </c>
      <c r="G20" s="2">
        <v>24.6</v>
      </c>
      <c r="H20" s="2">
        <v>68</v>
      </c>
      <c r="I20" s="2">
        <v>35</v>
      </c>
      <c r="J20" s="2">
        <v>58</v>
      </c>
      <c r="K20" s="2">
        <v>4.5</v>
      </c>
      <c r="L20" s="8">
        <v>6.5200000000000005</v>
      </c>
      <c r="M20" s="8">
        <v>0.83</v>
      </c>
      <c r="N20" s="8">
        <v>75.400000000000006</v>
      </c>
      <c r="O20" s="2">
        <v>10.24</v>
      </c>
      <c r="P20" s="2">
        <v>3.71</v>
      </c>
      <c r="Q20" s="2">
        <v>115</v>
      </c>
      <c r="R20" s="2">
        <v>21.7</v>
      </c>
      <c r="S20" s="2">
        <v>173</v>
      </c>
      <c r="T20" s="7">
        <v>0.95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</row>
    <row r="21" spans="1:26" x14ac:dyDescent="0.15">
      <c r="A21" s="4">
        <v>20</v>
      </c>
      <c r="B21" s="7" t="s">
        <v>17</v>
      </c>
      <c r="C21" s="7" t="s">
        <v>48</v>
      </c>
      <c r="D21" s="2">
        <v>0</v>
      </c>
      <c r="E21" s="2">
        <v>30</v>
      </c>
      <c r="F21" s="8">
        <v>18.699780861943022</v>
      </c>
      <c r="G21" s="2">
        <v>36.6</v>
      </c>
      <c r="H21" s="2">
        <v>170</v>
      </c>
      <c r="I21" s="2">
        <v>220</v>
      </c>
      <c r="J21" s="2">
        <v>103</v>
      </c>
      <c r="K21" s="2">
        <v>16.399999999999999</v>
      </c>
      <c r="L21" s="8"/>
      <c r="M21" s="8">
        <v>89.23</v>
      </c>
      <c r="N21" s="8">
        <v>236</v>
      </c>
      <c r="O21" s="2">
        <v>0.01</v>
      </c>
      <c r="P21" s="2">
        <v>1.51</v>
      </c>
      <c r="Q21" s="2">
        <v>42</v>
      </c>
      <c r="R21" s="2">
        <v>13.5</v>
      </c>
      <c r="S21" s="2">
        <v>18</v>
      </c>
      <c r="T21" s="7">
        <v>1.0900000000000001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 x14ac:dyDescent="0.15">
      <c r="A22" s="4">
        <v>21</v>
      </c>
      <c r="B22" s="7" t="s">
        <v>18</v>
      </c>
      <c r="C22" s="7" t="s">
        <v>48</v>
      </c>
      <c r="D22" s="2">
        <v>0</v>
      </c>
      <c r="E22" s="2">
        <v>34</v>
      </c>
      <c r="F22" s="8">
        <v>16.541306451109516</v>
      </c>
      <c r="G22" s="2">
        <v>12.4</v>
      </c>
      <c r="H22" s="2">
        <v>7</v>
      </c>
      <c r="I22" s="2">
        <v>11</v>
      </c>
      <c r="J22" s="2">
        <v>131</v>
      </c>
      <c r="K22" s="2">
        <v>4.9000000000000004</v>
      </c>
      <c r="L22" s="8">
        <v>92.333333333333343</v>
      </c>
      <c r="M22" s="8">
        <v>3.37</v>
      </c>
      <c r="N22" s="8">
        <v>242.6</v>
      </c>
      <c r="O22" s="2">
        <v>0.1</v>
      </c>
      <c r="P22" s="2">
        <v>1.6</v>
      </c>
      <c r="Q22" s="2">
        <v>51</v>
      </c>
      <c r="R22" s="2">
        <v>17.2</v>
      </c>
      <c r="S22" s="2">
        <v>27</v>
      </c>
      <c r="T22" s="7">
        <v>0.95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26" x14ac:dyDescent="0.15">
      <c r="A23" s="4">
        <v>22</v>
      </c>
      <c r="B23" s="7" t="s">
        <v>11</v>
      </c>
      <c r="C23" s="7" t="s">
        <v>48</v>
      </c>
      <c r="D23" s="2">
        <v>0</v>
      </c>
      <c r="E23" s="2">
        <v>36</v>
      </c>
      <c r="F23" s="8">
        <v>21.718066089745729</v>
      </c>
      <c r="G23" s="2">
        <v>34.200000000000003</v>
      </c>
      <c r="H23" s="2">
        <v>40</v>
      </c>
      <c r="I23" s="2">
        <v>44</v>
      </c>
      <c r="J23" s="2">
        <v>45</v>
      </c>
      <c r="K23" s="2">
        <v>7.1</v>
      </c>
      <c r="L23" s="8">
        <v>17.136363636363637</v>
      </c>
      <c r="M23" s="8">
        <v>0.27</v>
      </c>
      <c r="N23" s="8">
        <v>171</v>
      </c>
      <c r="O23" s="2">
        <v>8.7200000000000006</v>
      </c>
      <c r="P23" s="2">
        <v>2.31</v>
      </c>
      <c r="Q23" s="2">
        <v>65</v>
      </c>
      <c r="R23" s="2">
        <v>13.7</v>
      </c>
      <c r="S23" s="2">
        <v>388</v>
      </c>
      <c r="T23" s="7">
        <v>1.1399999999999999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 x14ac:dyDescent="0.15">
      <c r="A24" s="4">
        <v>23</v>
      </c>
      <c r="B24" s="7" t="s">
        <v>6</v>
      </c>
      <c r="C24" s="7" t="s">
        <v>48</v>
      </c>
      <c r="D24" s="2">
        <v>1</v>
      </c>
      <c r="E24" s="2">
        <v>40</v>
      </c>
      <c r="F24" s="8">
        <v>16.901027582477017</v>
      </c>
      <c r="G24" s="2">
        <v>13.4</v>
      </c>
      <c r="H24" s="2">
        <v>9</v>
      </c>
      <c r="I24" s="2">
        <v>20</v>
      </c>
      <c r="J24" s="2">
        <v>108</v>
      </c>
      <c r="K24" s="2">
        <v>11.1</v>
      </c>
      <c r="L24" s="8"/>
      <c r="M24" s="8">
        <v>0.22</v>
      </c>
      <c r="N24" s="8">
        <v>101.4</v>
      </c>
      <c r="O24" s="2">
        <v>0.01</v>
      </c>
      <c r="P24" s="2">
        <v>2</v>
      </c>
      <c r="Q24" s="2">
        <v>66</v>
      </c>
      <c r="R24" s="2">
        <v>15</v>
      </c>
      <c r="S24" s="2">
        <v>2</v>
      </c>
      <c r="T24" s="7">
        <v>1.1200000000000001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</row>
    <row r="25" spans="1:26" x14ac:dyDescent="0.15">
      <c r="A25" s="4">
        <v>24</v>
      </c>
      <c r="B25" s="7" t="s">
        <v>9</v>
      </c>
      <c r="C25" s="7" t="s">
        <v>48</v>
      </c>
      <c r="D25" s="2">
        <v>0</v>
      </c>
      <c r="E25" s="2">
        <v>55</v>
      </c>
      <c r="F25" s="8">
        <v>19.721036967980208</v>
      </c>
      <c r="G25" s="2">
        <v>11.4</v>
      </c>
      <c r="H25" s="2">
        <v>6</v>
      </c>
      <c r="I25" s="2">
        <v>12</v>
      </c>
      <c r="J25" s="2">
        <v>61</v>
      </c>
      <c r="K25" s="2">
        <v>4.3</v>
      </c>
      <c r="L25" s="8">
        <v>6.9117647058823524</v>
      </c>
      <c r="M25" s="8">
        <v>0.72</v>
      </c>
      <c r="N25" s="8">
        <v>14.6</v>
      </c>
      <c r="O25" s="2">
        <v>0.11</v>
      </c>
      <c r="P25" s="2">
        <v>2.97</v>
      </c>
      <c r="Q25" s="2">
        <v>91</v>
      </c>
      <c r="R25" s="2">
        <v>12.6</v>
      </c>
      <c r="S25" s="2">
        <v>15</v>
      </c>
      <c r="T25" s="7">
        <v>1.04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</row>
    <row r="26" spans="1:26" x14ac:dyDescent="0.15">
      <c r="A26" s="4">
        <v>25</v>
      </c>
      <c r="B26" s="7" t="s">
        <v>14</v>
      </c>
      <c r="C26" s="7" t="s">
        <v>48</v>
      </c>
      <c r="D26" s="2">
        <v>0</v>
      </c>
      <c r="E26" s="2">
        <v>50</v>
      </c>
      <c r="F26" s="8">
        <v>23.875114784205696</v>
      </c>
      <c r="G26" s="2">
        <v>209.3</v>
      </c>
      <c r="H26" s="2">
        <v>144</v>
      </c>
      <c r="I26" s="2">
        <v>51</v>
      </c>
      <c r="J26" s="2">
        <v>75</v>
      </c>
      <c r="K26" s="2">
        <v>11.7</v>
      </c>
      <c r="L26" s="8">
        <v>11.802816901408452</v>
      </c>
      <c r="M26" s="8">
        <v>23.56</v>
      </c>
      <c r="N26" s="8">
        <v>1.1000000000000001</v>
      </c>
      <c r="O26" s="2">
        <v>9.94</v>
      </c>
      <c r="P26" s="2">
        <v>4.08</v>
      </c>
      <c r="Q26" s="2">
        <v>129</v>
      </c>
      <c r="R26" s="2">
        <v>12.1</v>
      </c>
      <c r="S26" s="2">
        <v>25</v>
      </c>
      <c r="T26" s="7">
        <v>52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1</v>
      </c>
    </row>
    <row r="27" spans="1:26" x14ac:dyDescent="0.15">
      <c r="A27" s="4">
        <v>26</v>
      </c>
      <c r="B27" s="7" t="s">
        <v>15</v>
      </c>
      <c r="C27" s="7" t="s">
        <v>48</v>
      </c>
      <c r="D27" s="2">
        <v>0</v>
      </c>
      <c r="E27" s="2">
        <v>56</v>
      </c>
      <c r="F27" s="8">
        <v>20.761245674740486</v>
      </c>
      <c r="G27" s="2">
        <v>16.399999999999999</v>
      </c>
      <c r="H27" s="2">
        <v>39</v>
      </c>
      <c r="I27" s="2">
        <v>45</v>
      </c>
      <c r="J27" s="2">
        <v>38</v>
      </c>
      <c r="K27" s="2">
        <v>1.7</v>
      </c>
      <c r="L27" s="8">
        <v>24.911111111111111</v>
      </c>
      <c r="M27" s="8">
        <v>0.12</v>
      </c>
      <c r="N27" s="8">
        <v>37</v>
      </c>
      <c r="O27" s="2">
        <v>14.9</v>
      </c>
      <c r="P27" s="2">
        <v>3.63</v>
      </c>
      <c r="Q27" s="2">
        <v>104</v>
      </c>
      <c r="R27" s="2">
        <v>13</v>
      </c>
      <c r="S27" s="2">
        <v>248</v>
      </c>
      <c r="T27" s="7">
        <v>0.99</v>
      </c>
      <c r="U27" s="2">
        <v>1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</row>
    <row r="28" spans="1:26" x14ac:dyDescent="0.15">
      <c r="A28" s="4">
        <v>27</v>
      </c>
      <c r="B28" s="7" t="s">
        <v>12</v>
      </c>
      <c r="C28" s="7" t="s">
        <v>48</v>
      </c>
      <c r="D28" s="2">
        <v>1</v>
      </c>
      <c r="E28" s="2">
        <v>68</v>
      </c>
      <c r="F28" s="8">
        <v>18.359374999999996</v>
      </c>
      <c r="G28" s="2">
        <v>55.8</v>
      </c>
      <c r="H28" s="2">
        <v>26</v>
      </c>
      <c r="I28" s="2">
        <v>87</v>
      </c>
      <c r="J28" s="2">
        <v>62</v>
      </c>
      <c r="K28" s="2">
        <v>8.1999999999999993</v>
      </c>
      <c r="L28" s="8">
        <v>2.4564796905222437</v>
      </c>
      <c r="M28" s="8">
        <v>0.17</v>
      </c>
      <c r="N28" s="8">
        <v>17</v>
      </c>
      <c r="O28" s="2">
        <v>18.670000000000002</v>
      </c>
      <c r="P28" s="2">
        <v>3.3</v>
      </c>
      <c r="Q28" s="2">
        <v>105</v>
      </c>
      <c r="R28" s="2">
        <v>19.2</v>
      </c>
      <c r="S28" s="2">
        <v>124</v>
      </c>
      <c r="T28" s="7">
        <v>1.38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</row>
    <row r="29" spans="1:26" x14ac:dyDescent="0.15">
      <c r="A29" s="4">
        <v>28</v>
      </c>
      <c r="B29" s="7" t="s">
        <v>13</v>
      </c>
      <c r="C29" s="7" t="s">
        <v>48</v>
      </c>
      <c r="D29" s="2">
        <v>0</v>
      </c>
      <c r="E29" s="2">
        <v>65</v>
      </c>
      <c r="F29" s="8">
        <v>24.609733700642796</v>
      </c>
      <c r="G29" s="2">
        <v>10.3</v>
      </c>
      <c r="H29" s="2">
        <v>71</v>
      </c>
      <c r="I29" s="2">
        <v>40</v>
      </c>
      <c r="J29" s="2">
        <v>102</v>
      </c>
      <c r="K29" s="2">
        <v>4.9000000000000004</v>
      </c>
      <c r="L29" s="8">
        <v>8.4767441860465116</v>
      </c>
      <c r="M29" s="8">
        <v>0.81</v>
      </c>
      <c r="N29" s="8">
        <v>149</v>
      </c>
      <c r="O29" s="2">
        <v>9</v>
      </c>
      <c r="P29" s="2">
        <v>3.55</v>
      </c>
      <c r="Q29" s="2">
        <v>109</v>
      </c>
      <c r="R29" s="2">
        <v>11.7</v>
      </c>
      <c r="S29" s="2">
        <v>373</v>
      </c>
      <c r="T29" s="7">
        <v>1.18</v>
      </c>
      <c r="U29" s="2">
        <v>1</v>
      </c>
      <c r="V29" s="2">
        <v>1</v>
      </c>
      <c r="W29" s="2">
        <v>0</v>
      </c>
      <c r="X29" s="2">
        <v>1</v>
      </c>
      <c r="Y29" s="2">
        <v>1</v>
      </c>
      <c r="Z29" s="2">
        <v>0</v>
      </c>
    </row>
    <row r="30" spans="1:26" x14ac:dyDescent="0.15">
      <c r="A30" s="4">
        <v>29</v>
      </c>
      <c r="B30" s="7" t="s">
        <v>16</v>
      </c>
      <c r="C30" s="7" t="s">
        <v>48</v>
      </c>
      <c r="D30" s="2">
        <v>0</v>
      </c>
      <c r="E30" s="2">
        <v>64</v>
      </c>
      <c r="F30" s="8">
        <v>20.761245674740486</v>
      </c>
      <c r="G30" s="2">
        <v>154.6</v>
      </c>
      <c r="H30" s="2">
        <v>325</v>
      </c>
      <c r="I30" s="2">
        <v>591</v>
      </c>
      <c r="J30" s="2">
        <v>233</v>
      </c>
      <c r="K30" s="2">
        <v>22.2</v>
      </c>
      <c r="L30" s="8">
        <v>10</v>
      </c>
      <c r="M30" s="8">
        <v>78.099999999999994</v>
      </c>
      <c r="N30" s="8">
        <v>3.2</v>
      </c>
      <c r="O30" s="2">
        <v>8.1999999999999993</v>
      </c>
      <c r="P30" s="2">
        <v>2.5</v>
      </c>
      <c r="Q30" s="2">
        <v>76</v>
      </c>
      <c r="R30" s="2">
        <v>13.2</v>
      </c>
      <c r="S30" s="2">
        <v>10</v>
      </c>
      <c r="T30" s="7">
        <v>1.2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</row>
    <row r="31" spans="1:26" x14ac:dyDescent="0.15">
      <c r="A31" s="4">
        <v>30</v>
      </c>
      <c r="B31" s="7" t="s">
        <v>19</v>
      </c>
      <c r="C31" s="7" t="s">
        <v>48</v>
      </c>
      <c r="D31" s="2">
        <v>0</v>
      </c>
      <c r="E31" s="2">
        <v>72</v>
      </c>
      <c r="F31" s="8">
        <v>23.046874999999996</v>
      </c>
      <c r="G31" s="2">
        <v>328.3</v>
      </c>
      <c r="H31" s="2">
        <v>14</v>
      </c>
      <c r="I31" s="2">
        <v>64</v>
      </c>
      <c r="J31" s="2">
        <v>197</v>
      </c>
      <c r="K31" s="2">
        <v>27.5</v>
      </c>
      <c r="L31" s="8">
        <v>15.671874999999998</v>
      </c>
      <c r="M31" s="8">
        <v>1.07</v>
      </c>
      <c r="N31" s="8">
        <v>40.159999999999997</v>
      </c>
      <c r="O31" s="2">
        <v>11.43</v>
      </c>
      <c r="P31" s="2">
        <v>1.55</v>
      </c>
      <c r="Q31" s="2">
        <v>56</v>
      </c>
      <c r="R31" s="2">
        <v>14.2</v>
      </c>
      <c r="S31" s="2">
        <v>290</v>
      </c>
      <c r="T31" s="7">
        <v>1.18</v>
      </c>
      <c r="U31" s="2">
        <v>1</v>
      </c>
      <c r="V31" s="2">
        <v>0</v>
      </c>
      <c r="W31" s="2">
        <v>0</v>
      </c>
      <c r="X31" s="2">
        <v>1</v>
      </c>
      <c r="Y31" s="2">
        <v>1</v>
      </c>
      <c r="Z31" s="2">
        <v>0</v>
      </c>
    </row>
    <row r="32" spans="1:26" x14ac:dyDescent="0.15">
      <c r="A32" s="4">
        <v>31</v>
      </c>
      <c r="B32" s="7" t="s">
        <v>73</v>
      </c>
      <c r="C32" s="7" t="s">
        <v>50</v>
      </c>
      <c r="D32" s="2">
        <v>1</v>
      </c>
      <c r="E32" s="2">
        <v>55</v>
      </c>
      <c r="F32" s="8">
        <v>17.715419501133791</v>
      </c>
      <c r="G32" s="2">
        <v>15.7</v>
      </c>
      <c r="H32" s="2">
        <v>28</v>
      </c>
      <c r="I32" s="2">
        <v>30</v>
      </c>
      <c r="J32" s="2">
        <v>65</v>
      </c>
      <c r="K32" s="2">
        <v>6</v>
      </c>
      <c r="L32" s="8">
        <v>0.74879227053140107</v>
      </c>
      <c r="M32" s="8">
        <v>0.05</v>
      </c>
      <c r="N32" s="8">
        <v>1</v>
      </c>
      <c r="O32" s="2">
        <v>4.12</v>
      </c>
      <c r="P32" s="2">
        <v>3.11</v>
      </c>
      <c r="Q32" s="2">
        <v>93</v>
      </c>
      <c r="R32" s="2">
        <v>16.5</v>
      </c>
      <c r="S32" s="2">
        <v>220</v>
      </c>
      <c r="T32" s="7">
        <v>1.03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26" x14ac:dyDescent="0.15">
      <c r="A33" s="4">
        <v>32</v>
      </c>
      <c r="B33" s="7" t="s">
        <v>30</v>
      </c>
      <c r="C33" s="7" t="s">
        <v>50</v>
      </c>
      <c r="D33" s="2">
        <v>0</v>
      </c>
      <c r="E33" s="2">
        <v>30</v>
      </c>
      <c r="F33" s="8">
        <v>27.471688898385274</v>
      </c>
      <c r="G33" s="2">
        <v>10</v>
      </c>
      <c r="H33" s="2">
        <v>12</v>
      </c>
      <c r="I33" s="2">
        <v>16</v>
      </c>
      <c r="J33" s="2">
        <v>80</v>
      </c>
      <c r="K33" s="2">
        <v>3.2</v>
      </c>
      <c r="L33" s="8">
        <v>1.9753086419753085</v>
      </c>
      <c r="M33" s="8">
        <v>0.03</v>
      </c>
      <c r="N33" s="8">
        <v>3</v>
      </c>
      <c r="O33" s="2">
        <v>5.7</v>
      </c>
      <c r="P33" s="2">
        <v>3.86</v>
      </c>
      <c r="Q33" s="2">
        <v>113</v>
      </c>
      <c r="R33" s="2">
        <v>13.5</v>
      </c>
      <c r="S33" s="2">
        <v>333</v>
      </c>
      <c r="T33" s="7">
        <v>1.24</v>
      </c>
      <c r="U33" s="2">
        <v>1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</row>
    <row r="34" spans="1:26" x14ac:dyDescent="0.15">
      <c r="A34" s="4">
        <v>33</v>
      </c>
      <c r="B34" s="7" t="s">
        <v>29</v>
      </c>
      <c r="C34" s="7" t="s">
        <v>50</v>
      </c>
      <c r="D34" s="2">
        <v>0</v>
      </c>
      <c r="E34" s="2">
        <v>59</v>
      </c>
      <c r="F34" s="8">
        <v>25.155895691609981</v>
      </c>
      <c r="G34" s="2">
        <v>10.5</v>
      </c>
      <c r="H34" s="2">
        <v>99</v>
      </c>
      <c r="I34" s="2">
        <v>57</v>
      </c>
      <c r="J34" s="2">
        <v>68</v>
      </c>
      <c r="K34" s="2">
        <v>10</v>
      </c>
      <c r="L34" s="8">
        <v>2.5030674846625769</v>
      </c>
      <c r="M34" s="8">
        <v>7.0000000000000007E-2</v>
      </c>
      <c r="N34" s="8">
        <v>5</v>
      </c>
      <c r="O34" s="2">
        <v>6.61</v>
      </c>
      <c r="P34" s="2">
        <v>4.6500000000000004</v>
      </c>
      <c r="Q34" s="2">
        <v>150</v>
      </c>
      <c r="R34" s="2">
        <v>12.1</v>
      </c>
      <c r="S34" s="2">
        <v>218</v>
      </c>
      <c r="T34" s="7">
        <v>0.96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</row>
    <row r="35" spans="1:26" x14ac:dyDescent="0.15">
      <c r="A35" s="4">
        <v>34</v>
      </c>
      <c r="B35" s="7" t="s">
        <v>28</v>
      </c>
      <c r="C35" s="7" t="s">
        <v>50</v>
      </c>
      <c r="D35" s="2">
        <v>1</v>
      </c>
      <c r="E35" s="2">
        <v>70</v>
      </c>
      <c r="F35" s="8">
        <v>18.730489073881373</v>
      </c>
      <c r="G35" s="2">
        <v>10.1</v>
      </c>
      <c r="H35" s="2">
        <v>14</v>
      </c>
      <c r="I35" s="2">
        <v>14</v>
      </c>
      <c r="J35" s="2">
        <v>48</v>
      </c>
      <c r="K35" s="2">
        <v>6.4</v>
      </c>
      <c r="L35" s="8">
        <v>1.5867768595041323</v>
      </c>
      <c r="M35" s="8">
        <v>0.16</v>
      </c>
      <c r="N35" s="8">
        <v>4</v>
      </c>
      <c r="O35" s="2">
        <v>3.64</v>
      </c>
      <c r="P35" s="2">
        <v>2.93</v>
      </c>
      <c r="Q35" s="2">
        <v>88</v>
      </c>
      <c r="R35" s="2">
        <v>16.5</v>
      </c>
      <c r="S35" s="2">
        <v>558</v>
      </c>
      <c r="T35" s="7">
        <v>1.02</v>
      </c>
      <c r="U35" s="2">
        <v>1</v>
      </c>
      <c r="V35" s="2">
        <v>1</v>
      </c>
      <c r="W35" s="2">
        <v>0</v>
      </c>
      <c r="X35" s="2">
        <v>1</v>
      </c>
      <c r="Y35" s="2">
        <v>1</v>
      </c>
      <c r="Z35" s="2">
        <v>0</v>
      </c>
    </row>
    <row r="36" spans="1:26" x14ac:dyDescent="0.15">
      <c r="A36" s="4">
        <v>35</v>
      </c>
      <c r="B36" s="7" t="s">
        <v>27</v>
      </c>
      <c r="C36" s="7" t="s">
        <v>50</v>
      </c>
      <c r="D36" s="2">
        <v>1</v>
      </c>
      <c r="E36" s="2">
        <v>23</v>
      </c>
      <c r="F36" s="8">
        <v>24.034609838166958</v>
      </c>
      <c r="G36" s="2">
        <v>9.9</v>
      </c>
      <c r="H36" s="2">
        <v>22</v>
      </c>
      <c r="I36" s="2">
        <v>23</v>
      </c>
      <c r="J36" s="2">
        <v>395</v>
      </c>
      <c r="K36" s="2">
        <v>19.2</v>
      </c>
      <c r="L36" s="8">
        <v>2.5546875</v>
      </c>
      <c r="M36" s="8">
        <v>0.2</v>
      </c>
      <c r="N36" s="8">
        <v>6</v>
      </c>
      <c r="O36" s="2">
        <v>5.14</v>
      </c>
      <c r="P36" s="2">
        <v>3.22</v>
      </c>
      <c r="Q36" s="2">
        <v>81</v>
      </c>
      <c r="R36" s="2">
        <v>14.9</v>
      </c>
      <c r="S36" s="2">
        <v>258</v>
      </c>
      <c r="T36" s="7">
        <v>1.01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</row>
    <row r="37" spans="1:26" x14ac:dyDescent="0.15">
      <c r="A37" s="4">
        <v>36</v>
      </c>
      <c r="B37" s="7" t="s">
        <v>26</v>
      </c>
      <c r="C37" s="7" t="s">
        <v>50</v>
      </c>
      <c r="D37" s="2">
        <v>1</v>
      </c>
      <c r="E37" s="2">
        <v>35</v>
      </c>
      <c r="F37" s="8">
        <v>25.536703601108034</v>
      </c>
      <c r="G37" s="2">
        <v>9.3000000000000007</v>
      </c>
      <c r="H37" s="2">
        <v>11</v>
      </c>
      <c r="I37" s="2">
        <v>17</v>
      </c>
      <c r="J37" s="2">
        <v>43</v>
      </c>
      <c r="K37" s="2">
        <v>2</v>
      </c>
      <c r="L37" s="8">
        <v>1.5477386934673367</v>
      </c>
      <c r="M37" s="8">
        <v>7.0000000000000007E-2</v>
      </c>
      <c r="N37" s="8">
        <v>1</v>
      </c>
      <c r="O37" s="2">
        <v>5.56</v>
      </c>
      <c r="P37" s="2">
        <v>3.77</v>
      </c>
      <c r="Q37" s="2">
        <v>111</v>
      </c>
      <c r="R37" s="2">
        <v>13.9</v>
      </c>
      <c r="S37" s="2">
        <v>427</v>
      </c>
      <c r="T37" s="7">
        <v>0.97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</row>
    <row r="38" spans="1:26" x14ac:dyDescent="0.15">
      <c r="A38" s="4">
        <v>37</v>
      </c>
      <c r="B38" s="7" t="s">
        <v>25</v>
      </c>
      <c r="C38" s="7" t="s">
        <v>50</v>
      </c>
      <c r="D38" s="2">
        <v>0</v>
      </c>
      <c r="E38" s="2">
        <v>32</v>
      </c>
      <c r="F38" s="8">
        <v>32.29786616344898</v>
      </c>
      <c r="G38" s="2">
        <v>13.4</v>
      </c>
      <c r="H38" s="2">
        <v>91</v>
      </c>
      <c r="I38" s="2">
        <v>64</v>
      </c>
      <c r="J38" s="2">
        <v>64</v>
      </c>
      <c r="K38" s="2">
        <v>4.4000000000000004</v>
      </c>
      <c r="L38" s="8">
        <v>3.6837606837606836</v>
      </c>
      <c r="M38" s="8">
        <v>0.05</v>
      </c>
      <c r="N38" s="8">
        <v>5</v>
      </c>
      <c r="O38" s="2">
        <v>6.59</v>
      </c>
      <c r="P38" s="2">
        <v>4.67</v>
      </c>
      <c r="Q38" s="2">
        <v>135</v>
      </c>
      <c r="R38" s="2">
        <v>12.7</v>
      </c>
      <c r="S38" s="2">
        <v>247</v>
      </c>
      <c r="T38" s="7">
        <v>0.96</v>
      </c>
      <c r="U38" s="2">
        <v>0</v>
      </c>
      <c r="V38" s="2">
        <v>0</v>
      </c>
      <c r="W38" s="2">
        <v>0</v>
      </c>
      <c r="X38" s="2">
        <v>1</v>
      </c>
      <c r="Y38" s="2">
        <v>1</v>
      </c>
      <c r="Z38" s="2">
        <v>0</v>
      </c>
    </row>
    <row r="39" spans="1:26" x14ac:dyDescent="0.15">
      <c r="A39" s="4">
        <v>38</v>
      </c>
      <c r="B39" s="7" t="s">
        <v>31</v>
      </c>
      <c r="C39" s="7" t="s">
        <v>50</v>
      </c>
      <c r="D39" s="2">
        <v>0</v>
      </c>
      <c r="E39" s="2">
        <v>34</v>
      </c>
      <c r="F39" s="8">
        <v>20.515086478979924</v>
      </c>
      <c r="G39" s="2">
        <v>11.8</v>
      </c>
      <c r="H39" s="2">
        <v>11</v>
      </c>
      <c r="I39" s="2">
        <v>19</v>
      </c>
      <c r="J39" s="2">
        <v>69</v>
      </c>
      <c r="K39" s="2">
        <v>2</v>
      </c>
      <c r="L39" s="8">
        <v>2.2546583850931676</v>
      </c>
      <c r="M39" s="8">
        <v>0.03</v>
      </c>
      <c r="N39" s="8">
        <v>10</v>
      </c>
      <c r="O39" s="2">
        <v>5.73</v>
      </c>
      <c r="P39" s="2">
        <v>4.5599999999999996</v>
      </c>
      <c r="Q39" s="2">
        <v>145</v>
      </c>
      <c r="R39" s="2">
        <v>13.3</v>
      </c>
      <c r="S39" s="2">
        <v>173</v>
      </c>
      <c r="T39" s="7">
        <v>0.96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</row>
    <row r="40" spans="1:26" x14ac:dyDescent="0.15">
      <c r="A40" s="4">
        <v>39</v>
      </c>
      <c r="B40" s="7" t="s">
        <v>23</v>
      </c>
      <c r="C40" s="7" t="s">
        <v>50</v>
      </c>
      <c r="D40" s="2">
        <v>1</v>
      </c>
      <c r="E40" s="2">
        <v>57</v>
      </c>
      <c r="F40" s="8">
        <v>22.151022507021082</v>
      </c>
      <c r="G40" s="2">
        <v>28.5</v>
      </c>
      <c r="H40" s="2">
        <v>9</v>
      </c>
      <c r="I40" s="2">
        <v>18</v>
      </c>
      <c r="J40" s="2">
        <v>55</v>
      </c>
      <c r="K40" s="2">
        <v>3.2</v>
      </c>
      <c r="L40" s="8">
        <v>0.61960784313725492</v>
      </c>
      <c r="M40" s="8">
        <v>0.04</v>
      </c>
      <c r="N40" s="8">
        <v>3</v>
      </c>
      <c r="O40" s="2">
        <v>4.8499999999999996</v>
      </c>
      <c r="P40" s="2">
        <v>4.87</v>
      </c>
      <c r="Q40" s="2">
        <v>146</v>
      </c>
      <c r="R40" s="2">
        <v>12.1</v>
      </c>
      <c r="S40" s="2">
        <v>262</v>
      </c>
      <c r="T40" s="7">
        <v>1.0900000000000001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15">
      <c r="A41" s="4">
        <v>40</v>
      </c>
      <c r="B41" s="7" t="s">
        <v>22</v>
      </c>
      <c r="C41" s="7" t="s">
        <v>50</v>
      </c>
      <c r="D41" s="2">
        <v>0</v>
      </c>
      <c r="E41" s="2">
        <v>46</v>
      </c>
      <c r="F41" s="8">
        <v>27.815881725346742</v>
      </c>
      <c r="G41" s="2">
        <v>16</v>
      </c>
      <c r="H41" s="2">
        <v>15</v>
      </c>
      <c r="I41" s="2">
        <v>23</v>
      </c>
      <c r="J41" s="2">
        <v>77</v>
      </c>
      <c r="K41" s="2">
        <v>5.3</v>
      </c>
      <c r="L41" s="8">
        <v>2.8188976377952755</v>
      </c>
      <c r="M41" s="8">
        <v>0.05</v>
      </c>
      <c r="N41" s="8">
        <v>9</v>
      </c>
      <c r="O41" s="2">
        <v>5.37</v>
      </c>
      <c r="P41" s="2">
        <v>5.14</v>
      </c>
      <c r="Q41" s="2">
        <v>157</v>
      </c>
      <c r="R41" s="2">
        <v>11.6</v>
      </c>
      <c r="S41" s="2">
        <v>285</v>
      </c>
      <c r="T41" s="7">
        <v>1.08</v>
      </c>
      <c r="U41" s="2">
        <v>1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</row>
    <row r="42" spans="1:26" x14ac:dyDescent="0.15">
      <c r="A42" s="4">
        <v>41</v>
      </c>
      <c r="B42" s="7" t="s">
        <v>21</v>
      </c>
      <c r="C42" s="7" t="s">
        <v>50</v>
      </c>
      <c r="D42" s="2">
        <v>0</v>
      </c>
      <c r="E42" s="2">
        <v>40</v>
      </c>
      <c r="F42" s="8">
        <v>28.068918152229088</v>
      </c>
      <c r="G42" s="2">
        <v>15.5</v>
      </c>
      <c r="H42" s="2">
        <v>14</v>
      </c>
      <c r="I42" s="2">
        <v>16</v>
      </c>
      <c r="J42" s="2">
        <v>82</v>
      </c>
      <c r="K42" s="2">
        <v>5.9</v>
      </c>
      <c r="L42" s="8">
        <v>6.4301075268817209</v>
      </c>
      <c r="M42" s="8">
        <v>2.75</v>
      </c>
      <c r="N42" s="8">
        <v>238</v>
      </c>
      <c r="O42" s="2">
        <v>7.72</v>
      </c>
      <c r="P42" s="2">
        <v>4.7</v>
      </c>
      <c r="Q42" s="2">
        <v>135</v>
      </c>
      <c r="R42" s="2">
        <v>13.3</v>
      </c>
      <c r="S42" s="2">
        <v>166</v>
      </c>
      <c r="T42" s="7">
        <v>1.07</v>
      </c>
      <c r="U42" s="2">
        <v>1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</row>
    <row r="43" spans="1:26" x14ac:dyDescent="0.15">
      <c r="A43" s="4">
        <v>42</v>
      </c>
      <c r="B43" s="7" t="s">
        <v>24</v>
      </c>
      <c r="C43" s="7" t="s">
        <v>50</v>
      </c>
      <c r="D43" s="2">
        <v>0</v>
      </c>
      <c r="E43" s="2">
        <v>48</v>
      </c>
      <c r="F43" s="8">
        <v>23.054562464499313</v>
      </c>
      <c r="G43" s="2">
        <v>29.5</v>
      </c>
      <c r="H43" s="2">
        <v>97</v>
      </c>
      <c r="I43" s="2">
        <v>58</v>
      </c>
      <c r="J43" s="2">
        <v>84</v>
      </c>
      <c r="K43" s="2">
        <v>4.8</v>
      </c>
      <c r="L43" s="8">
        <v>2.6782608695652175</v>
      </c>
      <c r="M43" s="8">
        <v>0.25</v>
      </c>
      <c r="N43" s="8">
        <v>55</v>
      </c>
      <c r="O43" s="2">
        <v>4.8499999999999996</v>
      </c>
      <c r="P43" s="2">
        <v>4.82</v>
      </c>
      <c r="Q43" s="2">
        <v>145</v>
      </c>
      <c r="R43" s="2">
        <v>12.5</v>
      </c>
      <c r="S43" s="2">
        <v>221</v>
      </c>
      <c r="T43" s="7">
        <v>1.1000000000000001</v>
      </c>
      <c r="U43" s="2">
        <v>1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</row>
    <row r="44" spans="1:26" x14ac:dyDescent="0.15">
      <c r="A44" s="4">
        <v>43</v>
      </c>
      <c r="B44" s="7" t="s">
        <v>20</v>
      </c>
      <c r="C44" s="7" t="s">
        <v>50</v>
      </c>
      <c r="D44" s="2">
        <v>0</v>
      </c>
      <c r="E44" s="2">
        <v>39</v>
      </c>
      <c r="F44" s="8">
        <v>38.062283737024224</v>
      </c>
      <c r="G44" s="2">
        <v>20.8</v>
      </c>
      <c r="H44" s="2">
        <v>41</v>
      </c>
      <c r="I44" s="2">
        <v>32</v>
      </c>
      <c r="J44" s="2">
        <v>77</v>
      </c>
      <c r="K44" s="2">
        <v>3.9</v>
      </c>
      <c r="L44" s="8">
        <v>2.2391304347826089</v>
      </c>
      <c r="M44" s="8">
        <v>0.04</v>
      </c>
      <c r="N44" s="8">
        <v>2</v>
      </c>
      <c r="O44" s="2">
        <v>3.27</v>
      </c>
      <c r="P44" s="2">
        <v>4.0199999999999996</v>
      </c>
      <c r="Q44" s="2">
        <v>115</v>
      </c>
      <c r="R44" s="2">
        <v>14</v>
      </c>
      <c r="S44" s="2">
        <v>240</v>
      </c>
      <c r="T44" s="7">
        <v>1.05</v>
      </c>
      <c r="U44" s="2">
        <v>1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</row>
    <row r="45" spans="1:26" x14ac:dyDescent="0.15">
      <c r="A45" s="4">
        <v>44</v>
      </c>
      <c r="B45" s="7" t="s">
        <v>32</v>
      </c>
      <c r="C45" s="7" t="s">
        <v>50</v>
      </c>
      <c r="D45" s="2">
        <v>0</v>
      </c>
      <c r="E45" s="2">
        <v>40</v>
      </c>
      <c r="F45" s="8">
        <v>20.244897959183675</v>
      </c>
      <c r="G45" s="2">
        <v>17.600000000000001</v>
      </c>
      <c r="H45" s="2">
        <v>39</v>
      </c>
      <c r="I45" s="2">
        <v>40</v>
      </c>
      <c r="J45" s="2">
        <v>64</v>
      </c>
      <c r="K45" s="2">
        <v>4.5</v>
      </c>
      <c r="L45" s="8">
        <v>1.1484716157205239</v>
      </c>
      <c r="M45" s="8">
        <v>0.42</v>
      </c>
      <c r="N45" s="8">
        <v>32</v>
      </c>
      <c r="O45" s="2">
        <v>6.04</v>
      </c>
      <c r="P45" s="2">
        <v>4.17</v>
      </c>
      <c r="Q45" s="2">
        <v>133</v>
      </c>
      <c r="R45" s="2">
        <v>12.1</v>
      </c>
      <c r="S45" s="2">
        <v>239</v>
      </c>
      <c r="T45" s="7">
        <v>1.02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0</v>
      </c>
    </row>
    <row r="46" spans="1:26" x14ac:dyDescent="0.15">
      <c r="A46" s="4">
        <v>45</v>
      </c>
      <c r="B46" s="7" t="s">
        <v>33</v>
      </c>
      <c r="C46" s="7" t="s">
        <v>50</v>
      </c>
      <c r="D46" s="2">
        <v>0</v>
      </c>
      <c r="E46" s="2">
        <v>62</v>
      </c>
      <c r="F46" s="8">
        <v>21.048047612135289</v>
      </c>
      <c r="G46" s="2">
        <v>17.8</v>
      </c>
      <c r="H46" s="2">
        <v>42</v>
      </c>
      <c r="I46" s="2">
        <v>46</v>
      </c>
      <c r="J46" s="2">
        <v>67</v>
      </c>
      <c r="K46" s="2">
        <v>3.5</v>
      </c>
      <c r="L46" s="8">
        <v>2.4611650485436893</v>
      </c>
      <c r="M46" s="8">
        <v>7.0000000000000007E-2</v>
      </c>
      <c r="N46" s="8">
        <v>8</v>
      </c>
      <c r="O46" s="2">
        <v>7.82</v>
      </c>
      <c r="P46" s="2">
        <v>4.3899999999999997</v>
      </c>
      <c r="Q46" s="2">
        <v>135</v>
      </c>
      <c r="R46" s="2">
        <v>13.4</v>
      </c>
      <c r="S46" s="2">
        <v>182</v>
      </c>
      <c r="T46" s="7">
        <v>0.97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</sheetData>
  <sortState xmlns:xlrd2="http://schemas.microsoft.com/office/spreadsheetml/2017/richdata2" ref="A2:H25">
    <sortCondition ref="A1:A25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34D2-C4C8-498D-9B4F-E875225F93DB}">
  <dimension ref="A1:Y46"/>
  <sheetViews>
    <sheetView tabSelected="1" topLeftCell="B1" workbookViewId="0">
      <selection activeCell="L15" sqref="L15"/>
    </sheetView>
  </sheetViews>
  <sheetFormatPr defaultColWidth="9" defaultRowHeight="13.5" x14ac:dyDescent="0.15"/>
  <cols>
    <col min="1" max="1" width="9" style="9"/>
    <col min="2" max="16384" width="9" style="6"/>
  </cols>
  <sheetData>
    <row r="1" spans="1:25" x14ac:dyDescent="0.15">
      <c r="A1" s="3" t="s">
        <v>51</v>
      </c>
      <c r="B1" s="1" t="s">
        <v>53</v>
      </c>
      <c r="C1" s="1" t="s">
        <v>54</v>
      </c>
      <c r="D1" s="1" t="s">
        <v>122</v>
      </c>
      <c r="E1" s="1" t="s">
        <v>0</v>
      </c>
      <c r="F1" s="5" t="s">
        <v>74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</row>
    <row r="2" spans="1:25" x14ac:dyDescent="0.15">
      <c r="A2" s="9">
        <v>1</v>
      </c>
      <c r="B2" s="12" t="s">
        <v>75</v>
      </c>
      <c r="C2" s="13" t="s">
        <v>49</v>
      </c>
      <c r="D2" s="6">
        <v>0</v>
      </c>
      <c r="E2" s="6">
        <v>71</v>
      </c>
      <c r="F2" s="6">
        <v>72</v>
      </c>
      <c r="G2" s="6">
        <v>34.4</v>
      </c>
      <c r="H2" s="6">
        <v>11</v>
      </c>
      <c r="I2" s="6">
        <v>17</v>
      </c>
      <c r="J2" s="6">
        <v>85</v>
      </c>
      <c r="K2" s="6">
        <v>6.1</v>
      </c>
      <c r="L2" s="14">
        <v>23.710144927536234</v>
      </c>
      <c r="M2" s="6">
        <v>0.84</v>
      </c>
      <c r="N2" s="6">
        <v>261</v>
      </c>
      <c r="O2" s="6">
        <v>17.63</v>
      </c>
      <c r="P2" s="6">
        <v>3.8</v>
      </c>
      <c r="Q2" s="6">
        <v>115</v>
      </c>
      <c r="R2" s="6">
        <v>12.9</v>
      </c>
      <c r="S2" s="6">
        <v>388</v>
      </c>
      <c r="T2" s="6">
        <v>0</v>
      </c>
      <c r="U2" s="6">
        <v>0</v>
      </c>
      <c r="V2" s="6">
        <v>0</v>
      </c>
      <c r="W2" s="6">
        <v>1</v>
      </c>
      <c r="X2" s="6">
        <v>1</v>
      </c>
      <c r="Y2" s="6">
        <v>0</v>
      </c>
    </row>
    <row r="3" spans="1:25" x14ac:dyDescent="0.15">
      <c r="A3" s="9">
        <v>2</v>
      </c>
      <c r="B3" s="12" t="s">
        <v>76</v>
      </c>
      <c r="C3" s="13" t="s">
        <v>49</v>
      </c>
      <c r="D3" s="6">
        <v>0</v>
      </c>
      <c r="E3" s="6">
        <v>39</v>
      </c>
      <c r="F3" s="6">
        <v>100</v>
      </c>
      <c r="G3" s="6">
        <v>429.6</v>
      </c>
      <c r="H3" s="6">
        <v>76</v>
      </c>
      <c r="I3" s="6">
        <v>145</v>
      </c>
      <c r="J3" s="6">
        <v>154</v>
      </c>
      <c r="K3" s="6">
        <v>19.600000000000001</v>
      </c>
      <c r="L3" s="14">
        <v>2.2546583850931676</v>
      </c>
      <c r="M3" s="6">
        <v>27.88</v>
      </c>
      <c r="N3" s="6">
        <v>124</v>
      </c>
      <c r="O3" s="6">
        <v>6.95</v>
      </c>
      <c r="P3" s="6">
        <v>1.75</v>
      </c>
      <c r="Q3" s="6">
        <v>55</v>
      </c>
      <c r="R3" s="6">
        <v>16.8</v>
      </c>
      <c r="S3" s="6">
        <v>32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15">
      <c r="A4" s="9">
        <v>3</v>
      </c>
      <c r="B4" s="12" t="s">
        <v>77</v>
      </c>
      <c r="C4" s="13" t="s">
        <v>49</v>
      </c>
      <c r="D4" s="6">
        <v>0</v>
      </c>
      <c r="E4" s="6">
        <v>57</v>
      </c>
      <c r="F4" s="6">
        <v>63</v>
      </c>
      <c r="G4" s="6">
        <v>8.6</v>
      </c>
      <c r="H4" s="6">
        <v>11</v>
      </c>
      <c r="I4" s="6">
        <v>20</v>
      </c>
      <c r="J4" s="6">
        <v>45</v>
      </c>
      <c r="K4" s="6">
        <v>3.2</v>
      </c>
      <c r="L4" s="14">
        <v>5.4715447154471546</v>
      </c>
      <c r="M4" s="6">
        <v>1.52</v>
      </c>
      <c r="N4" s="6">
        <v>133</v>
      </c>
      <c r="O4" s="6">
        <v>8.69</v>
      </c>
      <c r="P4" s="6">
        <v>2.5299999999999998</v>
      </c>
      <c r="Q4" s="6">
        <v>77</v>
      </c>
      <c r="R4" s="6">
        <v>16.3</v>
      </c>
      <c r="S4" s="6">
        <v>267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15">
      <c r="A5" s="9">
        <v>4</v>
      </c>
      <c r="B5" s="12" t="s">
        <v>78</v>
      </c>
      <c r="C5" s="13" t="s">
        <v>49</v>
      </c>
      <c r="D5" s="6">
        <v>0</v>
      </c>
      <c r="E5" s="6">
        <v>50</v>
      </c>
      <c r="F5" s="6">
        <v>50</v>
      </c>
      <c r="G5" s="6">
        <v>22.6</v>
      </c>
      <c r="H5" s="6">
        <v>8</v>
      </c>
      <c r="I5" s="6">
        <v>23</v>
      </c>
      <c r="J5" s="6">
        <v>184</v>
      </c>
      <c r="K5" s="6">
        <v>13.4</v>
      </c>
      <c r="L5" s="14">
        <v>23.882352941176467</v>
      </c>
      <c r="M5" s="6">
        <v>95.31</v>
      </c>
      <c r="N5" s="6">
        <v>154</v>
      </c>
      <c r="O5" s="6">
        <v>4.72</v>
      </c>
      <c r="P5" s="6">
        <v>2.33</v>
      </c>
      <c r="Q5" s="6">
        <v>70</v>
      </c>
      <c r="R5" s="6">
        <v>15.6</v>
      </c>
      <c r="S5" s="6">
        <v>126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15">
      <c r="A6" s="9">
        <v>5</v>
      </c>
      <c r="B6" s="12" t="s">
        <v>79</v>
      </c>
      <c r="C6" s="13" t="s">
        <v>49</v>
      </c>
      <c r="D6" s="6">
        <v>1</v>
      </c>
      <c r="E6" s="6">
        <v>52</v>
      </c>
      <c r="F6" s="6">
        <v>75</v>
      </c>
      <c r="G6" s="6">
        <v>7.2</v>
      </c>
      <c r="H6" s="6">
        <v>28</v>
      </c>
      <c r="I6" s="6">
        <v>24</v>
      </c>
      <c r="J6" s="6">
        <v>35</v>
      </c>
      <c r="K6" s="6">
        <v>6.1</v>
      </c>
      <c r="L6" s="14">
        <v>5.9368421052631577</v>
      </c>
      <c r="M6" s="6">
        <v>3.14</v>
      </c>
      <c r="N6" s="6">
        <v>74</v>
      </c>
      <c r="O6" s="6">
        <v>7.2</v>
      </c>
      <c r="P6" s="6">
        <v>1.43</v>
      </c>
      <c r="Q6" s="6">
        <v>81</v>
      </c>
      <c r="R6" s="6">
        <v>10.7</v>
      </c>
      <c r="S6" s="6">
        <v>192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15">
      <c r="A7" s="9">
        <v>6</v>
      </c>
      <c r="B7" s="12" t="s">
        <v>80</v>
      </c>
      <c r="C7" s="13" t="s">
        <v>49</v>
      </c>
      <c r="D7" s="6">
        <v>0</v>
      </c>
      <c r="E7" s="6">
        <v>55</v>
      </c>
      <c r="F7" s="6">
        <v>46</v>
      </c>
      <c r="G7" s="6">
        <v>7.1</v>
      </c>
      <c r="H7" s="6">
        <v>21</v>
      </c>
      <c r="I7" s="6">
        <v>20</v>
      </c>
      <c r="J7" s="6">
        <v>68</v>
      </c>
      <c r="K7" s="6">
        <v>2.5</v>
      </c>
      <c r="L7" s="14">
        <v>1.7794871794871796</v>
      </c>
      <c r="M7" s="6">
        <v>1.35</v>
      </c>
      <c r="N7" s="6">
        <v>3</v>
      </c>
      <c r="O7" s="6">
        <v>6.1</v>
      </c>
      <c r="P7" s="6">
        <v>3.42</v>
      </c>
      <c r="Q7" s="6">
        <v>117</v>
      </c>
      <c r="R7" s="6">
        <v>13.7</v>
      </c>
      <c r="S7" s="6">
        <v>295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</row>
    <row r="8" spans="1:25" x14ac:dyDescent="0.15">
      <c r="A8" s="9">
        <v>7</v>
      </c>
      <c r="B8" s="12" t="s">
        <v>81</v>
      </c>
      <c r="C8" s="13" t="s">
        <v>49</v>
      </c>
      <c r="D8" s="6">
        <v>0</v>
      </c>
      <c r="E8" s="6">
        <v>47</v>
      </c>
      <c r="F8" s="6">
        <v>75</v>
      </c>
      <c r="G8" s="6">
        <v>19.399999999999999</v>
      </c>
      <c r="H8" s="6">
        <v>158</v>
      </c>
      <c r="I8" s="6">
        <v>219</v>
      </c>
      <c r="J8" s="6">
        <v>38</v>
      </c>
      <c r="K8" s="6">
        <v>3.1</v>
      </c>
      <c r="L8" s="14">
        <v>6.2937500000000002</v>
      </c>
      <c r="M8" s="6">
        <v>0.09</v>
      </c>
      <c r="N8" s="6">
        <v>23</v>
      </c>
      <c r="O8" s="6">
        <v>12.61</v>
      </c>
      <c r="P8" s="6">
        <v>3.16</v>
      </c>
      <c r="Q8" s="6">
        <v>90</v>
      </c>
      <c r="R8" s="6">
        <v>15.9</v>
      </c>
      <c r="S8" s="6">
        <v>290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15">
      <c r="A9" s="9">
        <v>8</v>
      </c>
      <c r="B9" s="12" t="s">
        <v>82</v>
      </c>
      <c r="C9" s="13" t="s">
        <v>49</v>
      </c>
      <c r="D9" s="6">
        <v>0</v>
      </c>
      <c r="E9" s="6">
        <v>67</v>
      </c>
      <c r="F9" s="6">
        <v>53</v>
      </c>
      <c r="G9" s="6">
        <v>101.7</v>
      </c>
      <c r="H9" s="6">
        <v>162</v>
      </c>
      <c r="I9" s="6">
        <v>140</v>
      </c>
      <c r="J9" s="6">
        <v>57</v>
      </c>
      <c r="K9" s="6">
        <v>6.4</v>
      </c>
      <c r="L9" s="14">
        <v>47.021276595744688</v>
      </c>
      <c r="M9" s="6">
        <v>6.15</v>
      </c>
      <c r="N9" s="6">
        <v>144</v>
      </c>
      <c r="O9" s="6">
        <v>23.26</v>
      </c>
      <c r="P9" s="6">
        <v>1.65</v>
      </c>
      <c r="Q9" s="6">
        <v>50</v>
      </c>
      <c r="R9" s="6">
        <v>15.6</v>
      </c>
      <c r="S9" s="6">
        <v>181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15">
      <c r="A10" s="9">
        <v>9</v>
      </c>
      <c r="B10" s="12" t="s">
        <v>83</v>
      </c>
      <c r="C10" s="13" t="s">
        <v>49</v>
      </c>
      <c r="D10" s="6">
        <v>1</v>
      </c>
      <c r="E10" s="6">
        <v>33</v>
      </c>
      <c r="F10" s="6">
        <v>53</v>
      </c>
      <c r="G10" s="6">
        <v>14.9</v>
      </c>
      <c r="H10" s="6">
        <v>19</v>
      </c>
      <c r="I10" s="6">
        <v>9</v>
      </c>
      <c r="J10" s="6">
        <v>42</v>
      </c>
      <c r="K10" s="6">
        <v>106</v>
      </c>
      <c r="L10" s="14">
        <v>9.01</v>
      </c>
      <c r="M10" s="6">
        <v>1.25</v>
      </c>
      <c r="N10" s="6">
        <v>174.1</v>
      </c>
      <c r="O10" s="6">
        <v>0.01</v>
      </c>
      <c r="P10" s="6">
        <v>1.64</v>
      </c>
      <c r="Q10" s="6">
        <v>47</v>
      </c>
      <c r="R10" s="6">
        <v>14.5</v>
      </c>
      <c r="S10" s="6">
        <v>15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15">
      <c r="A11" s="9">
        <v>10</v>
      </c>
      <c r="B11" s="12" t="s">
        <v>84</v>
      </c>
      <c r="C11" s="13" t="s">
        <v>49</v>
      </c>
      <c r="D11" s="6">
        <v>0</v>
      </c>
      <c r="E11" s="6">
        <v>39</v>
      </c>
      <c r="F11" s="6">
        <v>60</v>
      </c>
      <c r="G11" s="6">
        <v>18.8</v>
      </c>
      <c r="H11" s="6">
        <v>25</v>
      </c>
      <c r="I11" s="6">
        <v>23</v>
      </c>
      <c r="J11" s="6">
        <v>58</v>
      </c>
      <c r="K11" s="6">
        <v>7.9</v>
      </c>
      <c r="L11" s="14">
        <v>11.727272727272727</v>
      </c>
      <c r="M11" s="6">
        <v>0.39</v>
      </c>
      <c r="N11" s="6">
        <v>96</v>
      </c>
      <c r="O11" s="6">
        <v>11.24</v>
      </c>
      <c r="P11" s="6">
        <v>2.1800000000000002</v>
      </c>
      <c r="Q11" s="6">
        <v>93</v>
      </c>
      <c r="R11" s="6">
        <v>12.9</v>
      </c>
      <c r="S11" s="6">
        <v>220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15">
      <c r="A12" s="9">
        <v>11</v>
      </c>
      <c r="B12" s="12" t="s">
        <v>85</v>
      </c>
      <c r="C12" s="13" t="s">
        <v>49</v>
      </c>
      <c r="D12" s="6">
        <v>0</v>
      </c>
      <c r="E12" s="6">
        <v>53</v>
      </c>
      <c r="F12" s="6">
        <v>80</v>
      </c>
      <c r="G12" s="6">
        <v>19.600000000000001</v>
      </c>
      <c r="H12" s="6">
        <v>46</v>
      </c>
      <c r="I12" s="6">
        <v>38</v>
      </c>
      <c r="J12" s="6">
        <v>254</v>
      </c>
      <c r="K12" s="6">
        <v>25.1</v>
      </c>
      <c r="L12" s="14">
        <v>53.666666666666671</v>
      </c>
      <c r="M12" s="6">
        <v>4.3499999999999996</v>
      </c>
      <c r="N12" s="6">
        <v>217</v>
      </c>
      <c r="O12" s="6">
        <v>17</v>
      </c>
      <c r="P12" s="6">
        <v>3.3</v>
      </c>
      <c r="Q12" s="6">
        <v>97</v>
      </c>
      <c r="R12" s="6">
        <v>15.7</v>
      </c>
      <c r="S12" s="6">
        <v>193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</row>
    <row r="13" spans="1:25" x14ac:dyDescent="0.15">
      <c r="A13" s="9">
        <v>12</v>
      </c>
      <c r="B13" s="12" t="s">
        <v>86</v>
      </c>
      <c r="C13" s="13" t="s">
        <v>49</v>
      </c>
      <c r="D13" s="6">
        <v>0</v>
      </c>
      <c r="E13" s="6">
        <v>36</v>
      </c>
      <c r="F13" s="6">
        <v>48</v>
      </c>
      <c r="G13" s="6">
        <v>10.5</v>
      </c>
      <c r="H13" s="6">
        <v>2</v>
      </c>
      <c r="I13" s="6">
        <v>5</v>
      </c>
      <c r="J13" s="6">
        <v>321</v>
      </c>
      <c r="K13" s="6">
        <v>29.9</v>
      </c>
      <c r="L13" s="14">
        <v>4.3611111111111116</v>
      </c>
      <c r="M13" s="6">
        <v>38.090000000000003</v>
      </c>
      <c r="N13" s="6">
        <v>88</v>
      </c>
      <c r="O13" s="6">
        <v>4.51</v>
      </c>
      <c r="P13" s="6">
        <v>2.6</v>
      </c>
      <c r="Q13" s="6">
        <v>78</v>
      </c>
      <c r="R13" s="6">
        <v>13.9</v>
      </c>
      <c r="S13" s="6">
        <v>62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</row>
    <row r="14" spans="1:25" x14ac:dyDescent="0.15">
      <c r="A14" s="9">
        <v>13</v>
      </c>
      <c r="B14" s="12" t="s">
        <v>87</v>
      </c>
      <c r="C14" s="13" t="s">
        <v>49</v>
      </c>
      <c r="D14" s="6">
        <v>0</v>
      </c>
      <c r="E14" s="6">
        <v>67</v>
      </c>
      <c r="F14" s="6">
        <v>80</v>
      </c>
      <c r="G14" s="6">
        <v>11.5</v>
      </c>
      <c r="H14" s="6">
        <v>25.8</v>
      </c>
      <c r="I14" s="6">
        <v>13</v>
      </c>
      <c r="J14" s="6">
        <v>401</v>
      </c>
      <c r="K14" s="6">
        <v>35.299999999999997</v>
      </c>
      <c r="L14" s="14">
        <v>25.125</v>
      </c>
      <c r="M14" s="13">
        <v>100</v>
      </c>
      <c r="N14" s="6">
        <v>110</v>
      </c>
      <c r="O14" s="6">
        <v>10.81</v>
      </c>
      <c r="P14" s="6">
        <v>3.37</v>
      </c>
      <c r="Q14" s="6">
        <v>105</v>
      </c>
      <c r="R14" s="6">
        <v>14.6</v>
      </c>
      <c r="S14" s="6">
        <v>92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15">
      <c r="A15" s="9">
        <v>14</v>
      </c>
      <c r="B15" s="12" t="s">
        <v>88</v>
      </c>
      <c r="C15" s="13" t="s">
        <v>49</v>
      </c>
      <c r="D15" s="6">
        <v>0</v>
      </c>
      <c r="E15" s="6">
        <v>88</v>
      </c>
      <c r="F15" s="6">
        <v>50</v>
      </c>
      <c r="G15" s="6">
        <v>9.9</v>
      </c>
      <c r="H15" s="6">
        <v>14.9</v>
      </c>
      <c r="I15" s="6">
        <v>7.6</v>
      </c>
      <c r="J15" s="6">
        <v>40</v>
      </c>
      <c r="K15" s="6">
        <v>10.65</v>
      </c>
      <c r="L15" s="14">
        <v>16.536585365853657</v>
      </c>
      <c r="M15" s="6">
        <v>0.36399999999999999</v>
      </c>
      <c r="N15" s="6">
        <v>58.3</v>
      </c>
      <c r="O15" s="6">
        <v>23.03</v>
      </c>
      <c r="P15" s="6">
        <v>3.03</v>
      </c>
      <c r="Q15" s="6">
        <v>83</v>
      </c>
      <c r="R15" s="6">
        <v>17.2</v>
      </c>
      <c r="S15" s="6">
        <v>91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15">
      <c r="A16" s="9">
        <v>15</v>
      </c>
      <c r="B16" s="12" t="s">
        <v>89</v>
      </c>
      <c r="C16" s="13" t="s">
        <v>49</v>
      </c>
      <c r="D16" s="6">
        <v>0</v>
      </c>
      <c r="E16" s="6">
        <v>85</v>
      </c>
      <c r="F16" s="6">
        <v>65</v>
      </c>
      <c r="G16" s="6">
        <v>14.8</v>
      </c>
      <c r="H16" s="6">
        <v>6</v>
      </c>
      <c r="I16" s="6">
        <v>19</v>
      </c>
      <c r="J16" s="6">
        <v>455</v>
      </c>
      <c r="K16" s="6">
        <v>45.6</v>
      </c>
      <c r="L16" s="14">
        <v>4.2439024390243905</v>
      </c>
      <c r="M16" s="6">
        <v>11.37</v>
      </c>
      <c r="N16" s="6">
        <v>70.900000000000006</v>
      </c>
      <c r="O16" s="6">
        <v>11.61</v>
      </c>
      <c r="P16" s="6">
        <v>2.11</v>
      </c>
      <c r="Q16" s="6">
        <v>65</v>
      </c>
      <c r="R16" s="6">
        <v>15.1</v>
      </c>
      <c r="S16" s="6">
        <v>55</v>
      </c>
      <c r="T16" s="6">
        <v>1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</row>
    <row r="17" spans="1:25" x14ac:dyDescent="0.15">
      <c r="A17" s="9">
        <v>16</v>
      </c>
      <c r="B17" s="12" t="s">
        <v>90</v>
      </c>
      <c r="C17" s="13" t="s">
        <v>91</v>
      </c>
      <c r="D17" s="6">
        <v>0</v>
      </c>
      <c r="E17" s="6">
        <v>60</v>
      </c>
      <c r="F17" s="6">
        <v>63</v>
      </c>
      <c r="G17" s="6">
        <v>32.1</v>
      </c>
      <c r="H17" s="6">
        <v>41</v>
      </c>
      <c r="I17" s="6">
        <v>7</v>
      </c>
      <c r="J17" s="6">
        <v>134</v>
      </c>
      <c r="K17" s="6">
        <v>37.9</v>
      </c>
      <c r="L17" s="14">
        <v>9.3333333333333339</v>
      </c>
      <c r="M17" s="6">
        <v>4.33</v>
      </c>
      <c r="N17" s="6">
        <v>59.3</v>
      </c>
      <c r="O17" s="6">
        <v>6.7</v>
      </c>
      <c r="P17" s="6">
        <v>2.99</v>
      </c>
      <c r="Q17" s="6">
        <v>72</v>
      </c>
      <c r="R17" s="6">
        <v>20.9</v>
      </c>
      <c r="S17" s="6">
        <v>154</v>
      </c>
      <c r="T17" s="6">
        <v>0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</row>
    <row r="18" spans="1:25" x14ac:dyDescent="0.15">
      <c r="A18" s="9">
        <v>17</v>
      </c>
      <c r="B18" s="12" t="s">
        <v>92</v>
      </c>
      <c r="C18" s="13" t="s">
        <v>91</v>
      </c>
      <c r="D18" s="6">
        <v>0</v>
      </c>
      <c r="E18" s="6">
        <v>67</v>
      </c>
      <c r="F18" s="6">
        <v>51</v>
      </c>
      <c r="G18" s="6">
        <v>15.5</v>
      </c>
      <c r="H18" s="6">
        <v>137</v>
      </c>
      <c r="I18" s="6">
        <v>52</v>
      </c>
      <c r="J18" s="6">
        <v>47</v>
      </c>
      <c r="K18" s="6">
        <v>8.3000000000000007</v>
      </c>
      <c r="L18" s="14">
        <v>22.12280701754386</v>
      </c>
      <c r="M18" s="6">
        <v>83.09</v>
      </c>
      <c r="N18" s="6">
        <v>158</v>
      </c>
      <c r="O18" s="6">
        <v>14.2</v>
      </c>
      <c r="P18" s="6">
        <v>2.29</v>
      </c>
      <c r="Q18" s="6">
        <v>68</v>
      </c>
      <c r="R18" s="6">
        <v>13.5</v>
      </c>
      <c r="S18" s="6">
        <v>254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15">
      <c r="A19" s="9">
        <v>18</v>
      </c>
      <c r="B19" s="12" t="s">
        <v>93</v>
      </c>
      <c r="C19" s="13" t="s">
        <v>91</v>
      </c>
      <c r="D19" s="6">
        <v>0</v>
      </c>
      <c r="E19" s="6">
        <v>71</v>
      </c>
      <c r="F19" s="6">
        <v>58</v>
      </c>
      <c r="G19" s="6">
        <v>20.8</v>
      </c>
      <c r="H19" s="6">
        <v>41</v>
      </c>
      <c r="I19" s="6">
        <v>7</v>
      </c>
      <c r="J19" s="6">
        <v>77</v>
      </c>
      <c r="K19" s="6">
        <v>3.9</v>
      </c>
      <c r="L19" s="14">
        <v>2.2391304347826089</v>
      </c>
      <c r="M19" s="6">
        <v>0.04</v>
      </c>
      <c r="N19" s="6">
        <v>2</v>
      </c>
      <c r="O19" s="6">
        <v>3.27</v>
      </c>
      <c r="P19" s="6">
        <v>4.0199999999999996</v>
      </c>
      <c r="Q19" s="6">
        <v>115</v>
      </c>
      <c r="R19" s="6">
        <v>14</v>
      </c>
      <c r="S19" s="6">
        <v>240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</row>
    <row r="20" spans="1:25" x14ac:dyDescent="0.15">
      <c r="A20" s="9">
        <v>19</v>
      </c>
      <c r="B20" s="12" t="s">
        <v>94</v>
      </c>
      <c r="C20" s="13" t="s">
        <v>91</v>
      </c>
      <c r="D20" s="6">
        <v>1</v>
      </c>
      <c r="E20" s="6">
        <v>48</v>
      </c>
      <c r="F20" s="6">
        <v>40</v>
      </c>
      <c r="G20" s="6">
        <v>12.7</v>
      </c>
      <c r="H20" s="6">
        <v>73</v>
      </c>
      <c r="I20" s="6">
        <v>8</v>
      </c>
      <c r="J20" s="6">
        <v>93</v>
      </c>
      <c r="K20" s="6">
        <v>4</v>
      </c>
      <c r="L20" s="14">
        <v>1.1918819188191883</v>
      </c>
      <c r="M20" s="6">
        <v>0.17</v>
      </c>
      <c r="N20" s="6">
        <v>4</v>
      </c>
      <c r="O20" s="6">
        <v>6.57</v>
      </c>
      <c r="P20" s="6">
        <v>6.24</v>
      </c>
      <c r="Q20" s="6">
        <v>137</v>
      </c>
      <c r="R20" s="6">
        <v>14.1</v>
      </c>
      <c r="S20" s="6">
        <v>256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15">
      <c r="A21" s="9">
        <v>20</v>
      </c>
      <c r="B21" s="12" t="s">
        <v>95</v>
      </c>
      <c r="C21" s="13" t="s">
        <v>91</v>
      </c>
      <c r="D21" s="6">
        <v>0</v>
      </c>
      <c r="E21" s="6">
        <v>48</v>
      </c>
      <c r="F21" s="6">
        <v>52</v>
      </c>
      <c r="G21" s="6">
        <v>17.600000000000001</v>
      </c>
      <c r="H21" s="6">
        <v>39</v>
      </c>
      <c r="I21" s="6">
        <v>10</v>
      </c>
      <c r="J21" s="6">
        <v>64</v>
      </c>
      <c r="K21" s="6">
        <v>4.5</v>
      </c>
      <c r="L21" s="14">
        <v>1.1484716157205239</v>
      </c>
      <c r="M21" s="6">
        <v>0.42</v>
      </c>
      <c r="N21" s="6">
        <v>32</v>
      </c>
      <c r="O21" s="6">
        <v>6.04</v>
      </c>
      <c r="P21" s="6">
        <v>4.17</v>
      </c>
      <c r="Q21" s="6">
        <v>133</v>
      </c>
      <c r="R21" s="6">
        <v>12.1</v>
      </c>
      <c r="S21" s="6">
        <v>239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:25" x14ac:dyDescent="0.15">
      <c r="A22" s="9">
        <v>21</v>
      </c>
      <c r="B22" s="12" t="s">
        <v>96</v>
      </c>
      <c r="C22" s="13" t="s">
        <v>91</v>
      </c>
      <c r="D22" s="6">
        <v>0</v>
      </c>
      <c r="E22" s="6">
        <v>74</v>
      </c>
      <c r="F22" s="6">
        <v>57</v>
      </c>
      <c r="G22" s="6">
        <v>17.8</v>
      </c>
      <c r="H22" s="6">
        <v>42</v>
      </c>
      <c r="I22" s="6">
        <v>7</v>
      </c>
      <c r="J22" s="6">
        <v>67</v>
      </c>
      <c r="K22" s="6">
        <v>3.5</v>
      </c>
      <c r="L22" s="14">
        <v>2.4611650485436893</v>
      </c>
      <c r="M22" s="6">
        <v>7.0000000000000007E-2</v>
      </c>
      <c r="N22" s="6">
        <v>8</v>
      </c>
      <c r="O22" s="6">
        <v>7.82</v>
      </c>
      <c r="P22" s="6">
        <v>4.3899999999999997</v>
      </c>
      <c r="Q22" s="6">
        <v>135</v>
      </c>
      <c r="R22" s="6">
        <v>13.4</v>
      </c>
      <c r="S22" s="6">
        <v>182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15">
      <c r="A23" s="9">
        <v>22</v>
      </c>
      <c r="B23" s="12" t="s">
        <v>97</v>
      </c>
      <c r="C23" s="13" t="s">
        <v>91</v>
      </c>
      <c r="D23" s="6">
        <v>0</v>
      </c>
      <c r="E23" s="6">
        <v>54</v>
      </c>
      <c r="F23" s="6">
        <v>68</v>
      </c>
      <c r="G23" s="6">
        <v>16</v>
      </c>
      <c r="H23" s="6">
        <v>15</v>
      </c>
      <c r="I23" s="6">
        <v>6</v>
      </c>
      <c r="J23" s="6">
        <v>77</v>
      </c>
      <c r="K23" s="6">
        <v>5.3</v>
      </c>
      <c r="L23" s="14">
        <v>2.8188976377952755</v>
      </c>
      <c r="M23" s="6">
        <v>0.05</v>
      </c>
      <c r="N23" s="6">
        <v>9</v>
      </c>
      <c r="O23" s="6">
        <v>5.37</v>
      </c>
      <c r="P23" s="6">
        <v>5.14</v>
      </c>
      <c r="Q23" s="6">
        <v>157</v>
      </c>
      <c r="R23" s="6">
        <v>11.6</v>
      </c>
      <c r="S23" s="6">
        <v>285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x14ac:dyDescent="0.15">
      <c r="A24" s="9">
        <v>23</v>
      </c>
      <c r="B24" s="12" t="s">
        <v>98</v>
      </c>
      <c r="C24" s="13" t="s">
        <v>91</v>
      </c>
      <c r="D24" s="6">
        <v>1</v>
      </c>
      <c r="E24" s="6">
        <v>28</v>
      </c>
      <c r="F24" s="6">
        <v>54</v>
      </c>
      <c r="G24" s="6">
        <v>14.5</v>
      </c>
      <c r="H24" s="6">
        <v>23</v>
      </c>
      <c r="I24" s="6">
        <v>7</v>
      </c>
      <c r="J24" s="6">
        <v>90</v>
      </c>
      <c r="K24" s="6">
        <v>5.3</v>
      </c>
      <c r="L24" s="14">
        <v>4.4496124031007751</v>
      </c>
      <c r="M24" s="6">
        <v>0.97</v>
      </c>
      <c r="N24" s="6">
        <v>105</v>
      </c>
      <c r="O24" s="6">
        <v>7.72</v>
      </c>
      <c r="P24" s="6">
        <v>4.7</v>
      </c>
      <c r="Q24" s="6">
        <v>135</v>
      </c>
      <c r="R24" s="6">
        <v>13.3</v>
      </c>
      <c r="S24" s="6">
        <v>166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:25" x14ac:dyDescent="0.15">
      <c r="A25" s="9">
        <v>24</v>
      </c>
      <c r="B25" s="12" t="s">
        <v>99</v>
      </c>
      <c r="C25" s="13" t="s">
        <v>91</v>
      </c>
      <c r="D25" s="6">
        <v>0</v>
      </c>
      <c r="E25" s="6">
        <v>75</v>
      </c>
      <c r="F25" s="6">
        <v>54</v>
      </c>
      <c r="G25" s="6">
        <v>20.8</v>
      </c>
      <c r="H25" s="6">
        <v>41</v>
      </c>
      <c r="I25" s="6">
        <v>7</v>
      </c>
      <c r="J25" s="6">
        <v>77</v>
      </c>
      <c r="K25" s="6">
        <v>3.9</v>
      </c>
      <c r="L25" s="14">
        <v>2.2391304347826089</v>
      </c>
      <c r="M25" s="6">
        <v>0.04</v>
      </c>
      <c r="N25" s="6">
        <v>2</v>
      </c>
      <c r="O25" s="6">
        <v>3.27</v>
      </c>
      <c r="P25" s="6">
        <v>4.0199999999999996</v>
      </c>
      <c r="Q25" s="6">
        <v>115</v>
      </c>
      <c r="R25" s="6">
        <v>14</v>
      </c>
      <c r="S25" s="6">
        <v>240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</row>
    <row r="26" spans="1:25" x14ac:dyDescent="0.15">
      <c r="A26" s="9">
        <v>25</v>
      </c>
      <c r="B26" s="12" t="s">
        <v>100</v>
      </c>
      <c r="C26" s="13" t="s">
        <v>91</v>
      </c>
      <c r="D26" s="6">
        <v>0</v>
      </c>
      <c r="E26" s="6">
        <v>60</v>
      </c>
      <c r="F26" s="6">
        <v>80</v>
      </c>
      <c r="G26" s="6">
        <v>10.6</v>
      </c>
      <c r="H26" s="6">
        <v>11</v>
      </c>
      <c r="I26" s="6">
        <v>14</v>
      </c>
      <c r="J26" s="6">
        <v>73</v>
      </c>
      <c r="K26" s="6">
        <v>4.0999999999999996</v>
      </c>
      <c r="L26" s="14">
        <v>3.3571428571428577</v>
      </c>
      <c r="M26" s="6">
        <v>9.51</v>
      </c>
      <c r="N26" s="6">
        <v>51</v>
      </c>
      <c r="O26" s="6">
        <v>3.53</v>
      </c>
      <c r="P26" s="6">
        <v>3.53</v>
      </c>
      <c r="Q26" s="6">
        <v>107</v>
      </c>
      <c r="R26" s="6">
        <v>11.5</v>
      </c>
      <c r="S26" s="6">
        <v>88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x14ac:dyDescent="0.15">
      <c r="A27" s="9">
        <v>26</v>
      </c>
      <c r="B27" s="12" t="s">
        <v>101</v>
      </c>
      <c r="C27" s="13" t="s">
        <v>91</v>
      </c>
      <c r="D27" s="6">
        <v>0</v>
      </c>
      <c r="E27" s="6">
        <v>76</v>
      </c>
      <c r="F27" s="6">
        <v>67</v>
      </c>
      <c r="G27" s="6">
        <v>13.4</v>
      </c>
      <c r="H27" s="6">
        <v>91</v>
      </c>
      <c r="I27" s="6">
        <v>14</v>
      </c>
      <c r="J27" s="6">
        <v>64</v>
      </c>
      <c r="K27" s="6">
        <v>4.4000000000000004</v>
      </c>
      <c r="L27" s="14">
        <v>3.6837606837606836</v>
      </c>
      <c r="M27" s="6">
        <v>0.05</v>
      </c>
      <c r="N27" s="6">
        <v>5</v>
      </c>
      <c r="O27" s="6">
        <v>6.59</v>
      </c>
      <c r="P27" s="6">
        <v>4.67</v>
      </c>
      <c r="Q27" s="6">
        <v>135</v>
      </c>
      <c r="R27" s="6">
        <v>12.7</v>
      </c>
      <c r="S27" s="6">
        <v>247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x14ac:dyDescent="0.15">
      <c r="A28" s="9">
        <v>27</v>
      </c>
      <c r="B28" s="12" t="s">
        <v>102</v>
      </c>
      <c r="C28" s="13" t="s">
        <v>91</v>
      </c>
      <c r="D28" s="6">
        <v>0</v>
      </c>
      <c r="E28" s="6">
        <v>56</v>
      </c>
      <c r="F28" s="6">
        <v>60</v>
      </c>
      <c r="G28" s="6">
        <v>16.399999999999999</v>
      </c>
      <c r="H28" s="6">
        <v>39</v>
      </c>
      <c r="I28" s="6">
        <v>9</v>
      </c>
      <c r="J28" s="6">
        <v>38</v>
      </c>
      <c r="K28" s="6">
        <v>1.7</v>
      </c>
      <c r="L28" s="14">
        <v>21.714285714285715</v>
      </c>
      <c r="M28" s="6">
        <v>0.12</v>
      </c>
      <c r="N28" s="6">
        <v>43</v>
      </c>
      <c r="O28" s="6">
        <v>14.9</v>
      </c>
      <c r="P28" s="6">
        <v>3.63</v>
      </c>
      <c r="Q28" s="6">
        <v>104</v>
      </c>
      <c r="R28" s="6">
        <v>13</v>
      </c>
      <c r="S28" s="6">
        <v>248</v>
      </c>
      <c r="T28" s="6">
        <v>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x14ac:dyDescent="0.15">
      <c r="A29" s="9">
        <v>28</v>
      </c>
      <c r="B29" s="12" t="s">
        <v>103</v>
      </c>
      <c r="C29" s="13" t="s">
        <v>91</v>
      </c>
      <c r="D29" s="6">
        <v>1</v>
      </c>
      <c r="E29" s="6">
        <v>62</v>
      </c>
      <c r="F29" s="6">
        <v>35</v>
      </c>
      <c r="G29" s="6">
        <v>13.8</v>
      </c>
      <c r="H29" s="6">
        <v>16</v>
      </c>
      <c r="I29" s="6">
        <v>5</v>
      </c>
      <c r="J29" s="6">
        <v>68</v>
      </c>
      <c r="K29" s="6">
        <v>4.4000000000000004</v>
      </c>
      <c r="L29" s="14">
        <v>4.9916666666666671</v>
      </c>
      <c r="M29" s="6">
        <v>0.02</v>
      </c>
      <c r="N29" s="6">
        <v>21</v>
      </c>
      <c r="O29" s="6">
        <v>7.75</v>
      </c>
      <c r="P29" s="6">
        <v>4.01</v>
      </c>
      <c r="Q29" s="6">
        <v>126</v>
      </c>
      <c r="R29" s="6">
        <v>13</v>
      </c>
      <c r="S29" s="6">
        <v>182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:25" x14ac:dyDescent="0.15">
      <c r="A30" s="9">
        <v>29</v>
      </c>
      <c r="B30" s="12" t="s">
        <v>104</v>
      </c>
      <c r="C30" s="13" t="s">
        <v>91</v>
      </c>
      <c r="D30" s="6">
        <v>1</v>
      </c>
      <c r="E30" s="6">
        <v>43</v>
      </c>
      <c r="F30" s="6">
        <v>65</v>
      </c>
      <c r="G30" s="6">
        <v>62.5</v>
      </c>
      <c r="H30" s="6">
        <v>25</v>
      </c>
      <c r="I30" s="6">
        <v>21</v>
      </c>
      <c r="J30" s="6">
        <v>90</v>
      </c>
      <c r="K30" s="6">
        <v>13.4</v>
      </c>
      <c r="L30" s="14">
        <v>7.5000000000000009</v>
      </c>
      <c r="M30" s="6">
        <v>1.69</v>
      </c>
      <c r="N30" s="6">
        <v>252.4</v>
      </c>
      <c r="O30" s="6">
        <v>2.17</v>
      </c>
      <c r="P30" s="6">
        <v>1.81</v>
      </c>
      <c r="Q30" s="6">
        <v>57</v>
      </c>
      <c r="R30" s="6">
        <v>15.5</v>
      </c>
      <c r="S30" s="6">
        <v>13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x14ac:dyDescent="0.15">
      <c r="A31" s="9">
        <v>30</v>
      </c>
      <c r="B31" s="12" t="s">
        <v>105</v>
      </c>
      <c r="C31" s="13" t="s">
        <v>91</v>
      </c>
      <c r="D31" s="6">
        <v>0</v>
      </c>
      <c r="E31" s="6">
        <v>69</v>
      </c>
      <c r="F31" s="6">
        <v>49</v>
      </c>
      <c r="G31" s="6">
        <v>33.4</v>
      </c>
      <c r="H31" s="6">
        <v>14</v>
      </c>
      <c r="I31" s="6">
        <v>30</v>
      </c>
      <c r="J31" s="6">
        <v>43</v>
      </c>
      <c r="K31" s="6">
        <v>4.4000000000000004</v>
      </c>
      <c r="L31" s="14">
        <v>2.021505376344086</v>
      </c>
      <c r="M31" s="6">
        <v>0.42</v>
      </c>
      <c r="N31" s="6">
        <v>20</v>
      </c>
      <c r="O31" s="6">
        <v>3.27</v>
      </c>
      <c r="P31" s="6">
        <v>2.4500000000000002</v>
      </c>
      <c r="Q31" s="6">
        <v>85</v>
      </c>
      <c r="R31" s="6">
        <v>17.600000000000001</v>
      </c>
      <c r="S31" s="6">
        <v>155</v>
      </c>
      <c r="T31" s="6">
        <v>1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</row>
    <row r="32" spans="1:25" x14ac:dyDescent="0.15">
      <c r="A32" s="9">
        <v>31</v>
      </c>
      <c r="B32" s="12" t="s">
        <v>106</v>
      </c>
      <c r="C32" s="13" t="s">
        <v>50</v>
      </c>
      <c r="D32" s="6">
        <v>1</v>
      </c>
      <c r="E32" s="6">
        <v>55</v>
      </c>
      <c r="F32" s="6">
        <v>50</v>
      </c>
      <c r="G32" s="15">
        <v>15.7</v>
      </c>
      <c r="H32" s="6">
        <v>28</v>
      </c>
      <c r="I32" s="6">
        <v>8</v>
      </c>
      <c r="J32" s="6">
        <v>65</v>
      </c>
      <c r="K32" s="6">
        <v>6</v>
      </c>
      <c r="L32" s="14">
        <v>0.74879227053140107</v>
      </c>
      <c r="M32" s="6">
        <v>0.05</v>
      </c>
      <c r="N32" s="6">
        <v>1</v>
      </c>
      <c r="O32" s="6">
        <v>4.12</v>
      </c>
      <c r="P32" s="6">
        <v>3.11</v>
      </c>
      <c r="Q32" s="6">
        <v>93</v>
      </c>
      <c r="R32" s="6">
        <v>16.5</v>
      </c>
      <c r="S32" s="6">
        <v>220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15">
      <c r="A33" s="9">
        <v>32</v>
      </c>
      <c r="B33" s="12" t="s">
        <v>107</v>
      </c>
      <c r="C33" s="13" t="s">
        <v>50</v>
      </c>
      <c r="D33" s="6">
        <v>0</v>
      </c>
      <c r="E33" s="6">
        <v>30</v>
      </c>
      <c r="F33" s="6">
        <v>90</v>
      </c>
      <c r="G33" s="6">
        <v>10</v>
      </c>
      <c r="H33" s="6">
        <v>12</v>
      </c>
      <c r="I33" s="6">
        <v>16</v>
      </c>
      <c r="J33" s="6">
        <v>80</v>
      </c>
      <c r="K33" s="6">
        <v>3.2</v>
      </c>
      <c r="L33" s="14">
        <v>1.9753086419753085</v>
      </c>
      <c r="M33" s="6">
        <v>0.03</v>
      </c>
      <c r="N33" s="6">
        <v>3</v>
      </c>
      <c r="O33" s="6">
        <v>5.7</v>
      </c>
      <c r="P33" s="6">
        <v>3.86</v>
      </c>
      <c r="Q33" s="6">
        <v>113</v>
      </c>
      <c r="R33" s="6">
        <v>13.5</v>
      </c>
      <c r="S33" s="6">
        <v>333</v>
      </c>
      <c r="T33" s="6">
        <v>1</v>
      </c>
      <c r="U33" s="6">
        <v>0</v>
      </c>
      <c r="V33" s="6">
        <v>0</v>
      </c>
      <c r="W33" s="6">
        <v>1</v>
      </c>
      <c r="X33" s="6">
        <v>1</v>
      </c>
      <c r="Y33" s="6">
        <v>0</v>
      </c>
    </row>
    <row r="34" spans="1:25" x14ac:dyDescent="0.15">
      <c r="A34" s="9">
        <v>33</v>
      </c>
      <c r="B34" s="12" t="s">
        <v>108</v>
      </c>
      <c r="C34" s="13" t="s">
        <v>50</v>
      </c>
      <c r="D34" s="6">
        <v>0</v>
      </c>
      <c r="E34" s="6">
        <v>59</v>
      </c>
      <c r="F34" s="6">
        <v>63</v>
      </c>
      <c r="G34" s="6">
        <v>10.5</v>
      </c>
      <c r="H34" s="6">
        <v>99</v>
      </c>
      <c r="I34" s="6">
        <v>13</v>
      </c>
      <c r="J34" s="6">
        <v>68</v>
      </c>
      <c r="K34" s="6">
        <v>10</v>
      </c>
      <c r="L34" s="14">
        <v>2.5030674846625769</v>
      </c>
      <c r="M34" s="6">
        <v>7.0000000000000007E-2</v>
      </c>
      <c r="N34" s="6">
        <v>5</v>
      </c>
      <c r="O34" s="6">
        <v>6.61</v>
      </c>
      <c r="P34" s="6">
        <v>4.6500000000000004</v>
      </c>
      <c r="Q34" s="6">
        <v>150</v>
      </c>
      <c r="R34" s="6">
        <v>12.1</v>
      </c>
      <c r="S34" s="6">
        <v>218</v>
      </c>
      <c r="T34" s="6">
        <v>0</v>
      </c>
      <c r="U34" s="6">
        <v>0</v>
      </c>
      <c r="V34" s="6">
        <v>0</v>
      </c>
      <c r="W34" s="6">
        <v>1</v>
      </c>
      <c r="X34" s="6">
        <v>0</v>
      </c>
      <c r="Y34" s="6">
        <v>0</v>
      </c>
    </row>
    <row r="35" spans="1:25" x14ac:dyDescent="0.15">
      <c r="A35" s="9">
        <v>34</v>
      </c>
      <c r="B35" s="12" t="s">
        <v>109</v>
      </c>
      <c r="C35" s="13" t="s">
        <v>50</v>
      </c>
      <c r="D35" s="6">
        <v>1</v>
      </c>
      <c r="E35" s="6">
        <v>70</v>
      </c>
      <c r="F35" s="6">
        <v>45</v>
      </c>
      <c r="G35" s="6">
        <v>10.1</v>
      </c>
      <c r="H35" s="6">
        <v>14</v>
      </c>
      <c r="I35" s="6">
        <v>14</v>
      </c>
      <c r="J35" s="6">
        <v>48</v>
      </c>
      <c r="K35" s="6">
        <v>6.4</v>
      </c>
      <c r="L35" s="14">
        <v>1.5867768595041323</v>
      </c>
      <c r="M35" s="6">
        <v>0.16</v>
      </c>
      <c r="N35" s="6">
        <v>4</v>
      </c>
      <c r="O35" s="6">
        <v>3.64</v>
      </c>
      <c r="P35" s="6">
        <v>2.93</v>
      </c>
      <c r="Q35" s="6">
        <v>88</v>
      </c>
      <c r="R35" s="6">
        <v>16.5</v>
      </c>
      <c r="S35" s="6">
        <v>558</v>
      </c>
      <c r="T35" s="6">
        <v>1</v>
      </c>
      <c r="U35" s="6">
        <v>1</v>
      </c>
      <c r="V35" s="6">
        <v>0</v>
      </c>
      <c r="W35" s="6">
        <v>1</v>
      </c>
      <c r="X35" s="6">
        <v>1</v>
      </c>
      <c r="Y35" s="6">
        <v>0</v>
      </c>
    </row>
    <row r="36" spans="1:25" x14ac:dyDescent="0.15">
      <c r="A36" s="9">
        <v>35</v>
      </c>
      <c r="B36" s="12" t="s">
        <v>110</v>
      </c>
      <c r="C36" s="13" t="s">
        <v>50</v>
      </c>
      <c r="D36" s="6">
        <v>1</v>
      </c>
      <c r="E36" s="6">
        <v>35</v>
      </c>
      <c r="F36" s="6">
        <v>59</v>
      </c>
      <c r="G36" s="6">
        <v>9.3000000000000007</v>
      </c>
      <c r="H36" s="6">
        <v>11</v>
      </c>
      <c r="I36" s="6">
        <v>6</v>
      </c>
      <c r="J36" s="6">
        <v>43</v>
      </c>
      <c r="K36" s="6">
        <v>2</v>
      </c>
      <c r="L36" s="14">
        <v>1.5477386934673367</v>
      </c>
      <c r="M36" s="6">
        <v>7.0000000000000007E-2</v>
      </c>
      <c r="N36" s="6">
        <v>1</v>
      </c>
      <c r="O36" s="6">
        <v>5.56</v>
      </c>
      <c r="P36" s="6">
        <v>3.77</v>
      </c>
      <c r="Q36" s="6">
        <v>111</v>
      </c>
      <c r="R36" s="6">
        <v>13.9</v>
      </c>
      <c r="S36" s="6">
        <v>427</v>
      </c>
      <c r="T36" s="6">
        <v>1</v>
      </c>
      <c r="U36" s="6">
        <v>0</v>
      </c>
      <c r="V36" s="6">
        <v>0</v>
      </c>
      <c r="W36" s="6">
        <v>0</v>
      </c>
      <c r="X36" s="6">
        <v>1</v>
      </c>
      <c r="Y36" s="6">
        <v>0</v>
      </c>
    </row>
    <row r="37" spans="1:25" x14ac:dyDescent="0.15">
      <c r="A37" s="9">
        <v>36</v>
      </c>
      <c r="B37" s="12" t="s">
        <v>111</v>
      </c>
      <c r="C37" s="13" t="s">
        <v>50</v>
      </c>
      <c r="D37" s="6">
        <v>0</v>
      </c>
      <c r="E37" s="6">
        <v>32</v>
      </c>
      <c r="F37" s="6">
        <v>100</v>
      </c>
      <c r="G37" s="6">
        <v>13.4</v>
      </c>
      <c r="H37" s="6">
        <v>91</v>
      </c>
      <c r="I37" s="6">
        <v>14</v>
      </c>
      <c r="J37" s="6">
        <v>64</v>
      </c>
      <c r="K37" s="6">
        <v>4.4000000000000004</v>
      </c>
      <c r="L37" s="14">
        <v>3.6837606837606836</v>
      </c>
      <c r="M37" s="6">
        <v>0.05</v>
      </c>
      <c r="N37" s="6">
        <v>5</v>
      </c>
      <c r="O37" s="6">
        <v>6.59</v>
      </c>
      <c r="P37" s="6">
        <v>4.67</v>
      </c>
      <c r="Q37" s="6">
        <v>135</v>
      </c>
      <c r="R37" s="6">
        <v>12.7</v>
      </c>
      <c r="S37" s="6">
        <v>247</v>
      </c>
      <c r="T37" s="6">
        <v>0</v>
      </c>
      <c r="U37" s="6">
        <v>0</v>
      </c>
      <c r="V37" s="6">
        <v>0</v>
      </c>
      <c r="W37" s="6">
        <v>1</v>
      </c>
      <c r="X37" s="6">
        <v>1</v>
      </c>
      <c r="Y37" s="6">
        <v>0</v>
      </c>
    </row>
    <row r="38" spans="1:25" x14ac:dyDescent="0.15">
      <c r="A38" s="9">
        <v>37</v>
      </c>
      <c r="B38" s="12" t="s">
        <v>112</v>
      </c>
      <c r="C38" s="13" t="s">
        <v>50</v>
      </c>
      <c r="D38" s="6">
        <v>0</v>
      </c>
      <c r="E38" s="6">
        <v>34</v>
      </c>
      <c r="F38" s="6">
        <v>65</v>
      </c>
      <c r="G38" s="6">
        <v>11.8</v>
      </c>
      <c r="H38" s="6">
        <v>11</v>
      </c>
      <c r="I38" s="6">
        <v>5</v>
      </c>
      <c r="J38" s="6">
        <v>69</v>
      </c>
      <c r="K38" s="6">
        <v>2</v>
      </c>
      <c r="L38" s="14">
        <v>2.2546583850931676</v>
      </c>
      <c r="M38" s="6">
        <v>0.03</v>
      </c>
      <c r="N38" s="6">
        <v>10</v>
      </c>
      <c r="O38" s="6">
        <v>5.73</v>
      </c>
      <c r="P38" s="6">
        <v>4.5599999999999996</v>
      </c>
      <c r="Q38" s="6">
        <v>145</v>
      </c>
      <c r="R38" s="6">
        <v>13.3</v>
      </c>
      <c r="S38" s="6">
        <v>173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1</v>
      </c>
    </row>
    <row r="39" spans="1:25" x14ac:dyDescent="0.15">
      <c r="A39" s="9">
        <v>38</v>
      </c>
      <c r="B39" s="12" t="s">
        <v>113</v>
      </c>
      <c r="C39" s="13" t="s">
        <v>50</v>
      </c>
      <c r="D39" s="6">
        <v>1</v>
      </c>
      <c r="E39" s="6">
        <v>57</v>
      </c>
      <c r="F39" s="6">
        <v>55</v>
      </c>
      <c r="G39" s="6">
        <v>28.5</v>
      </c>
      <c r="H39" s="6">
        <v>9</v>
      </c>
      <c r="I39" s="6">
        <v>4</v>
      </c>
      <c r="J39" s="6">
        <v>55</v>
      </c>
      <c r="K39" s="6">
        <v>3.2</v>
      </c>
      <c r="L39" s="14">
        <v>0.61960784313725492</v>
      </c>
      <c r="M39" s="6">
        <v>0.04</v>
      </c>
      <c r="N39" s="6">
        <v>3</v>
      </c>
      <c r="O39" s="6">
        <v>4.8499999999999996</v>
      </c>
      <c r="P39" s="6">
        <v>4.87</v>
      </c>
      <c r="Q39" s="6">
        <v>146</v>
      </c>
      <c r="R39" s="6">
        <v>12.1</v>
      </c>
      <c r="S39" s="6">
        <v>262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r="40" spans="1:25" x14ac:dyDescent="0.15">
      <c r="A40" s="9">
        <v>39</v>
      </c>
      <c r="B40" s="12" t="s">
        <v>114</v>
      </c>
      <c r="C40" s="13" t="s">
        <v>50</v>
      </c>
      <c r="D40" s="6">
        <v>0</v>
      </c>
      <c r="E40" s="6">
        <v>46</v>
      </c>
      <c r="F40" s="6">
        <v>85</v>
      </c>
      <c r="G40" s="6">
        <v>16</v>
      </c>
      <c r="H40" s="6">
        <v>15</v>
      </c>
      <c r="I40" s="6">
        <v>6</v>
      </c>
      <c r="J40" s="6">
        <v>77</v>
      </c>
      <c r="K40" s="6">
        <v>5.3</v>
      </c>
      <c r="L40" s="14">
        <v>2.8188976377952755</v>
      </c>
      <c r="M40" s="6">
        <v>0.05</v>
      </c>
      <c r="N40" s="6">
        <v>9</v>
      </c>
      <c r="O40" s="6">
        <v>5.37</v>
      </c>
      <c r="P40" s="6">
        <v>5.14</v>
      </c>
      <c r="Q40" s="6">
        <v>157</v>
      </c>
      <c r="R40" s="6">
        <v>11.6</v>
      </c>
      <c r="S40" s="6">
        <v>285</v>
      </c>
      <c r="T40" s="6">
        <v>1</v>
      </c>
      <c r="U40" s="6">
        <v>0</v>
      </c>
      <c r="V40" s="6">
        <v>0</v>
      </c>
      <c r="W40" s="6">
        <v>0</v>
      </c>
      <c r="X40" s="6">
        <v>1</v>
      </c>
      <c r="Y40" s="6">
        <v>0</v>
      </c>
    </row>
    <row r="41" spans="1:25" x14ac:dyDescent="0.15">
      <c r="A41" s="9">
        <v>40</v>
      </c>
      <c r="B41" s="12" t="s">
        <v>115</v>
      </c>
      <c r="C41" s="13" t="s">
        <v>50</v>
      </c>
      <c r="D41" s="6">
        <v>0</v>
      </c>
      <c r="E41" s="6">
        <v>40</v>
      </c>
      <c r="F41" s="6">
        <v>94</v>
      </c>
      <c r="G41" s="6">
        <v>14.5</v>
      </c>
      <c r="H41" s="6">
        <v>23</v>
      </c>
      <c r="I41" s="6">
        <v>7</v>
      </c>
      <c r="J41" s="6">
        <v>90</v>
      </c>
      <c r="K41" s="6">
        <v>5.3</v>
      </c>
      <c r="L41" s="14">
        <v>4.4496124031007751</v>
      </c>
      <c r="M41" s="6">
        <v>0.97</v>
      </c>
      <c r="N41" s="6">
        <v>105</v>
      </c>
      <c r="O41" s="6">
        <v>7.72</v>
      </c>
      <c r="P41" s="6">
        <v>4.7</v>
      </c>
      <c r="Q41" s="6">
        <v>135</v>
      </c>
      <c r="R41" s="6">
        <v>13.3</v>
      </c>
      <c r="S41" s="6">
        <v>166</v>
      </c>
      <c r="T41" s="6">
        <v>1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</row>
    <row r="42" spans="1:25" x14ac:dyDescent="0.15">
      <c r="A42" s="9">
        <v>41</v>
      </c>
      <c r="B42" s="12" t="s">
        <v>116</v>
      </c>
      <c r="C42" s="13" t="s">
        <v>50</v>
      </c>
      <c r="D42" s="6">
        <v>0</v>
      </c>
      <c r="E42" s="6">
        <v>48</v>
      </c>
      <c r="F42" s="6">
        <v>70</v>
      </c>
      <c r="G42" s="6">
        <v>29.5</v>
      </c>
      <c r="H42" s="6">
        <v>97</v>
      </c>
      <c r="I42" s="6">
        <v>11</v>
      </c>
      <c r="J42" s="6">
        <v>84</v>
      </c>
      <c r="K42" s="6">
        <v>4.8</v>
      </c>
      <c r="L42" s="14">
        <v>2.6782608695652175</v>
      </c>
      <c r="M42" s="6">
        <v>0.25</v>
      </c>
      <c r="N42" s="6">
        <v>55</v>
      </c>
      <c r="O42" s="6">
        <v>4.8499999999999996</v>
      </c>
      <c r="P42" s="6">
        <v>4.82</v>
      </c>
      <c r="Q42" s="6">
        <v>145</v>
      </c>
      <c r="R42" s="6">
        <v>12.5</v>
      </c>
      <c r="S42" s="6">
        <v>221</v>
      </c>
      <c r="T42" s="6">
        <v>1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</row>
    <row r="43" spans="1:25" x14ac:dyDescent="0.15">
      <c r="A43" s="9">
        <v>42</v>
      </c>
      <c r="B43" s="12" t="s">
        <v>117</v>
      </c>
      <c r="C43" s="13" t="s">
        <v>50</v>
      </c>
      <c r="D43" s="6">
        <v>0</v>
      </c>
      <c r="E43" s="6">
        <v>26</v>
      </c>
      <c r="F43" s="6">
        <v>90</v>
      </c>
      <c r="G43" s="6">
        <v>12.4</v>
      </c>
      <c r="H43" s="6">
        <v>135</v>
      </c>
      <c r="I43" s="6">
        <v>12</v>
      </c>
      <c r="J43" s="6">
        <v>73</v>
      </c>
      <c r="K43" s="6">
        <v>4.3</v>
      </c>
      <c r="L43" s="14">
        <v>1.9344262295081966</v>
      </c>
      <c r="M43" s="6">
        <v>0.08</v>
      </c>
      <c r="N43" s="6">
        <v>14</v>
      </c>
      <c r="O43" s="6">
        <v>8.1199999999999992</v>
      </c>
      <c r="P43" s="6">
        <v>4.6399999999999997</v>
      </c>
      <c r="Q43" s="6">
        <v>135</v>
      </c>
      <c r="R43" s="6">
        <v>12.5</v>
      </c>
      <c r="S43" s="6">
        <v>286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</row>
    <row r="44" spans="1:25" x14ac:dyDescent="0.15">
      <c r="A44" s="9">
        <v>43</v>
      </c>
      <c r="B44" s="12" t="s">
        <v>118</v>
      </c>
      <c r="C44" s="13" t="s">
        <v>50</v>
      </c>
      <c r="D44" s="6">
        <v>0</v>
      </c>
      <c r="E44" s="6">
        <v>35</v>
      </c>
      <c r="F44" s="6">
        <v>85</v>
      </c>
      <c r="G44" s="6">
        <v>12.7</v>
      </c>
      <c r="H44" s="6">
        <v>73</v>
      </c>
      <c r="I44" s="6">
        <v>8</v>
      </c>
      <c r="J44" s="6">
        <v>93</v>
      </c>
      <c r="K44" s="6">
        <v>4</v>
      </c>
      <c r="L44" s="14">
        <v>1.1918819188191883</v>
      </c>
      <c r="M44" s="6">
        <v>0.17</v>
      </c>
      <c r="N44" s="6">
        <v>4</v>
      </c>
      <c r="O44" s="6">
        <v>6.57</v>
      </c>
      <c r="P44" s="6">
        <v>6.24</v>
      </c>
      <c r="Q44" s="6">
        <v>137</v>
      </c>
      <c r="R44" s="6">
        <v>14.1</v>
      </c>
      <c r="S44" s="6">
        <v>256</v>
      </c>
      <c r="T44" s="6">
        <v>0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</row>
    <row r="45" spans="1:25" x14ac:dyDescent="0.15">
      <c r="A45" s="9">
        <v>44</v>
      </c>
      <c r="B45" s="12" t="s">
        <v>119</v>
      </c>
      <c r="C45" s="13" t="s">
        <v>50</v>
      </c>
      <c r="D45" s="6">
        <v>0</v>
      </c>
      <c r="E45" s="6">
        <v>40</v>
      </c>
      <c r="F45" s="6">
        <v>72</v>
      </c>
      <c r="G45" s="6">
        <v>17.600000000000001</v>
      </c>
      <c r="H45" s="6">
        <v>39</v>
      </c>
      <c r="I45" s="6">
        <v>10</v>
      </c>
      <c r="J45" s="6">
        <v>64</v>
      </c>
      <c r="K45" s="6">
        <v>4.5</v>
      </c>
      <c r="L45" s="14">
        <v>1.1484716157205239</v>
      </c>
      <c r="M45" s="6">
        <v>0.42</v>
      </c>
      <c r="N45" s="6">
        <v>32</v>
      </c>
      <c r="O45" s="6">
        <v>6.04</v>
      </c>
      <c r="P45" s="6">
        <v>4.17</v>
      </c>
      <c r="Q45" s="6">
        <v>133</v>
      </c>
      <c r="R45" s="6">
        <v>12.1</v>
      </c>
      <c r="S45" s="6">
        <v>239</v>
      </c>
      <c r="T45" s="6">
        <v>1</v>
      </c>
      <c r="U45" s="6">
        <v>0</v>
      </c>
      <c r="V45" s="6">
        <v>0</v>
      </c>
      <c r="W45" s="6">
        <v>1</v>
      </c>
      <c r="X45" s="6">
        <v>1</v>
      </c>
      <c r="Y45" s="6">
        <v>0</v>
      </c>
    </row>
    <row r="46" spans="1:25" x14ac:dyDescent="0.15">
      <c r="A46" s="9">
        <v>45</v>
      </c>
      <c r="B46" s="12" t="s">
        <v>120</v>
      </c>
      <c r="C46" s="13" t="s">
        <v>50</v>
      </c>
      <c r="D46" s="6">
        <v>0</v>
      </c>
      <c r="E46" s="6">
        <v>62</v>
      </c>
      <c r="F46" s="6">
        <v>62</v>
      </c>
      <c r="G46" s="6">
        <v>17.8</v>
      </c>
      <c r="H46" s="6">
        <v>42</v>
      </c>
      <c r="I46" s="6">
        <v>7</v>
      </c>
      <c r="J46" s="6">
        <v>67</v>
      </c>
      <c r="K46" s="6">
        <v>3.5</v>
      </c>
      <c r="L46" s="14">
        <v>2.4611650485436893</v>
      </c>
      <c r="M46" s="6">
        <v>7.0000000000000007E-2</v>
      </c>
      <c r="N46" s="6">
        <v>8</v>
      </c>
      <c r="O46" s="6">
        <v>7.82</v>
      </c>
      <c r="P46" s="6">
        <v>4.3899999999999997</v>
      </c>
      <c r="Q46" s="6">
        <v>135</v>
      </c>
      <c r="R46" s="6">
        <v>13.4</v>
      </c>
      <c r="S46" s="6">
        <v>182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5CCF-C700-485E-A964-550F0ACAB301}">
  <dimension ref="A1:A17"/>
  <sheetViews>
    <sheetView workbookViewId="0">
      <selection activeCell="A17" sqref="A17"/>
    </sheetView>
  </sheetViews>
  <sheetFormatPr defaultRowHeight="13.5" x14ac:dyDescent="0.15"/>
  <sheetData>
    <row r="1" spans="1:1" x14ac:dyDescent="0.15">
      <c r="A1" s="6">
        <v>6.1</v>
      </c>
    </row>
    <row r="2" spans="1:1" x14ac:dyDescent="0.15">
      <c r="A2" s="6">
        <v>19.600000000000001</v>
      </c>
    </row>
    <row r="3" spans="1:1" x14ac:dyDescent="0.15">
      <c r="A3" s="6">
        <v>3.2</v>
      </c>
    </row>
    <row r="4" spans="1:1" x14ac:dyDescent="0.15">
      <c r="A4" s="6">
        <v>13.4</v>
      </c>
    </row>
    <row r="5" spans="1:1" x14ac:dyDescent="0.15">
      <c r="A5" s="6">
        <v>6.1</v>
      </c>
    </row>
    <row r="6" spans="1:1" x14ac:dyDescent="0.15">
      <c r="A6" s="6">
        <v>2.5</v>
      </c>
    </row>
    <row r="7" spans="1:1" x14ac:dyDescent="0.15">
      <c r="A7" s="6">
        <v>3.1</v>
      </c>
    </row>
    <row r="8" spans="1:1" x14ac:dyDescent="0.15">
      <c r="A8" s="6">
        <v>6.4</v>
      </c>
    </row>
    <row r="9" spans="1:1" x14ac:dyDescent="0.15">
      <c r="A9" s="6">
        <v>106</v>
      </c>
    </row>
    <row r="10" spans="1:1" x14ac:dyDescent="0.15">
      <c r="A10" s="6">
        <v>7.9</v>
      </c>
    </row>
    <row r="11" spans="1:1" x14ac:dyDescent="0.15">
      <c r="A11" s="6">
        <v>25.1</v>
      </c>
    </row>
    <row r="12" spans="1:1" x14ac:dyDescent="0.15">
      <c r="A12" s="6">
        <v>29.9</v>
      </c>
    </row>
    <row r="13" spans="1:1" x14ac:dyDescent="0.15">
      <c r="A13" s="6">
        <v>35.299999999999997</v>
      </c>
    </row>
    <row r="14" spans="1:1" x14ac:dyDescent="0.15">
      <c r="A14" s="6"/>
    </row>
    <row r="15" spans="1:1" x14ac:dyDescent="0.15">
      <c r="A15" s="6">
        <v>45.6</v>
      </c>
    </row>
    <row r="16" spans="1:1" x14ac:dyDescent="0.15">
      <c r="A16" s="16"/>
    </row>
    <row r="17" spans="1:1" x14ac:dyDescent="0.15">
      <c r="A17">
        <f>MEDIAN(A1:A15)</f>
        <v>10.65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discovery cohort</vt:lpstr>
      <vt:lpstr>validation cohort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siqi luo</cp:lastModifiedBy>
  <dcterms:created xsi:type="dcterms:W3CDTF">2025-07-22T06:50:22Z</dcterms:created>
  <dcterms:modified xsi:type="dcterms:W3CDTF">2026-01-20T09:33:40Z</dcterms:modified>
</cp:coreProperties>
</file>